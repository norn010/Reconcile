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-GEELY 67\"/>
    </mc:Choice>
  </mc:AlternateContent>
  <xr:revisionPtr revIDLastSave="0" documentId="8_{C6E5CD82-AB55-448D-9CCC-C0E5D5CD2522}" xr6:coauthVersionLast="47" xr6:coauthVersionMax="47" xr10:uidLastSave="{00000000-0000-0000-0000-000000000000}"/>
  <bookViews>
    <workbookView xWindow="28680" yWindow="-120" windowWidth="29040" windowHeight="15720" activeTab="3" xr2:uid="{8D750BAB-8053-4600-A2C1-2C4E73BDF1EB}"/>
  </bookViews>
  <sheets>
    <sheet name="แยกประเภท" sheetId="1" r:id="rId1"/>
    <sheet name="Sheet2" sheetId="3" r:id="rId2"/>
    <sheet name="สรุป" sheetId="2" r:id="rId3"/>
    <sheet name="หน้าป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D19" i="2"/>
</calcChain>
</file>

<file path=xl/sharedStrings.xml><?xml version="1.0" encoding="utf-8"?>
<sst xmlns="http://schemas.openxmlformats.org/spreadsheetml/2006/main" count="177" uniqueCount="112">
  <si>
    <t>บริษัท เอกสหกรุ๊ป มอเตอร์ จำกัด                                                                                         หน้า   :        1</t>
  </si>
  <si>
    <t>_x001B_W_x0001_รายงานแยกประเภททั่วไป _x001B_W</t>
  </si>
  <si>
    <t>วันที่จาก    1 ม.ค. 2567      ถึง  31 ธ.ค. 2567                                                                         วันที่ : 12/02/68</t>
  </si>
  <si>
    <t>เลขที่บัญชี  2205-01-02       ถึง  2205-01-02        เลือกแผนก  *</t>
  </si>
  <si>
    <t>-----------------------------------------------------------------------------------------------------------------------------------------</t>
  </si>
  <si>
    <t xml:space="preserve">  วันที่  สมุด  ใบสำคัญ               คำอธิบาย                                           เดบิท            เครดิต  สถานะ   ยอดคงเหลือ</t>
  </si>
  <si>
    <t>_x001B_E2205-01-02           เงินจอง-รถยนต์-GEEIY                                                                  _x001B_F                        0.00</t>
  </si>
  <si>
    <t>26/12/67 รับ    RVVG6712-001 ขนิษฐ์สินี  จุฑาธิปไตย                                                         934.58              (934.58)</t>
  </si>
  <si>
    <t xml:space="preserve">         รับ    RVVG6712-001 ละเอียด  มั่นกลาง                                                              934.58            (1,869.16)</t>
  </si>
  <si>
    <t xml:space="preserve">         รับ    RVVG6712-001 นัทธมน  ปานเทศ                                                                 934.58            (2,803.74)</t>
  </si>
  <si>
    <t xml:space="preserve">         รับ    RVVG6712-001 ธรรมนูญ  สมศักดิ์                                                              934.58            (3,738.32)</t>
  </si>
  <si>
    <t xml:space="preserve">         รับ    RVVG6712-001 บงกช  แซ่อึ้ง                                                                  934.58            (4,672.90)</t>
  </si>
  <si>
    <t xml:space="preserve">         รับ    RVVG6712-001 อริศรา  อุทยานวรรธระ                                                           934.58            (5,607.48)</t>
  </si>
  <si>
    <t xml:space="preserve">         รับ    RVVG6712-001 สุริเยนทร์  แสนทวีสุข                                                          934.58            (6,542.06)</t>
  </si>
  <si>
    <t xml:space="preserve">         รับ    RVVG6712-001 ทรงฤทธิ์  คชวงค์                                                               934.58            (7,476.64)</t>
  </si>
  <si>
    <t xml:space="preserve">         รับ    RVVG6712-001 กชพรรณ  ปุยะติ                                                                 934.58            (8,411.22)</t>
  </si>
  <si>
    <t xml:space="preserve">         รับ    RVVG6712-001 สุรศักดิ์  อินทร์อร่ามวงษ์                                                     934.58            (9,345.80)</t>
  </si>
  <si>
    <t xml:space="preserve">         รับ    RVVG6712-001 วัชรินทร์  อนันสุข                                                             934.58           (10,280.38)</t>
  </si>
  <si>
    <t xml:space="preserve">         รับ    RVVG6712-001 พิชย์นิวิฐ  แขสระน้อย                                                          934.58           (11,214.96)</t>
  </si>
  <si>
    <t>28/12/67 รับ    RVVG6712-002 อนุชาติ  ปุณณะนิธิ                                                             934.58           (12,149.54)</t>
  </si>
  <si>
    <t xml:space="preserve">                                                                               ----------------- -----------------</t>
  </si>
  <si>
    <t xml:space="preserve">                                                                   รวม         _x001B_E             0.00         12,149.54_x001B_F</t>
  </si>
  <si>
    <t xml:space="preserve">                                   รวมทั้งสิ้น     13 รายการ    1  บัญชี                    0.00         12,149.54</t>
  </si>
  <si>
    <t xml:space="preserve">                                                                               ================= =================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</si>
  <si>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</si>
  <si>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</si>
  <si>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</si>
  <si>
    <t>_x000C_</t>
  </si>
  <si>
    <t>บริษัท เอกสหกรุ๊ป มอเตอร์ จำกัด</t>
  </si>
  <si>
    <t>วันที่</t>
  </si>
  <si>
    <t>เลขที่เอกสาร</t>
  </si>
  <si>
    <t>ชื่อ-สกุล</t>
  </si>
  <si>
    <t>CR.</t>
  </si>
  <si>
    <t>หมายเหตุ</t>
  </si>
  <si>
    <t>รายละเอียดประกอบงบดุลปี 2567</t>
  </si>
  <si>
    <t>ณ.วันที่ 31/12/2567</t>
  </si>
  <si>
    <t>บริษัท เ</t>
  </si>
  <si>
    <t>อกสหกรุ๊</t>
  </si>
  <si>
    <t>ป มอเตอร์ จำก</t>
  </si>
  <si>
    <t>ัด </t>
  </si>
  <si>
    <t>หน้า   :        1</t>
  </si>
  <si>
    <t>_x001B_W_x0001_รายงา</t>
  </si>
  <si>
    <t>นแยกประเ</t>
  </si>
  <si>
    <t>ภททั่วไป _x001B_W</t>
  </si>
  <si>
    <t>วันที่จา</t>
  </si>
  <si>
    <t>ก    1 ม</t>
  </si>
  <si>
    <t>.ค. 2567</t>
  </si>
  <si>
    <t>ถึง  31 ธ.ค. 2567</t>
  </si>
  <si>
    <t>วันที่ : 12/02/68</t>
  </si>
  <si>
    <t>เลขที่บั</t>
  </si>
  <si>
    <t>ญชี  220</t>
  </si>
  <si>
    <t>ถึง  2205-01-02        เลือกแผนก  *</t>
  </si>
  <si>
    <t>--------</t>
  </si>
  <si>
    <t>-------------</t>
  </si>
  <si>
    <t>-----------------------------------------------------------------------</t>
  </si>
  <si>
    <t>--------------------</t>
  </si>
  <si>
    <t>-----------------</t>
  </si>
  <si>
    <t>สมุด</t>
  </si>
  <si>
    <t>ใบสำคัญ</t>
  </si>
  <si>
    <t>คำอธิบาย                                           เดบิท</t>
  </si>
  <si>
    <t>เครดิต  สถานะ</t>
  </si>
  <si>
    <t>ยอดคงเหลือ</t>
  </si>
  <si>
    <t>_x001B_E2205-0</t>
  </si>
  <si>
    <t>เงินจอ</t>
  </si>
  <si>
    <t>ง-รถยนต์-GEEIY</t>
  </si>
  <si>
    <t>_x001B_F</t>
  </si>
  <si>
    <t>รับ</t>
  </si>
  <si>
    <t>RVVG6712-001</t>
  </si>
  <si>
    <t>ขนิษฐ์สินี  จุฑาธิปไตย</t>
  </si>
  <si>
    <t>ละเอียด  มั่นกลาง</t>
  </si>
  <si>
    <t>นัทธมน  ปานเทศ</t>
  </si>
  <si>
    <t>ธรรมนูญ  สมศักดิ์</t>
  </si>
  <si>
    <t>บงกช  แซ่อึ้ง</t>
  </si>
  <si>
    <t>อริศรา  อุทยานวรรธระ</t>
  </si>
  <si>
    <t>สุริเยนทร์  แสนทวีสุข</t>
  </si>
  <si>
    <t>ทรงฤทธิ์  คชวงค์</t>
  </si>
  <si>
    <t>กชพรรณ  ปุยะติ</t>
  </si>
  <si>
    <t>สุรศักดิ์  อินทร์อร่ามวงษ์</t>
  </si>
  <si>
    <t>วัชรินทร์  อนันสุข</t>
  </si>
  <si>
    <t>พิชย์นิวิฐ  แขสระน้อย</t>
  </si>
  <si>
    <t>RVVG6712-002</t>
  </si>
  <si>
    <t>อนุชาติ  ปุณณะนิธิ</t>
  </si>
  <si>
    <t>----------------- ---</t>
  </si>
  <si>
    <t>--------------</t>
  </si>
  <si>
    <t>รวม         _x001B_E             0.00</t>
  </si>
  <si>
    <t>12,149.54_x001B_F</t>
  </si>
  <si>
    <t>รวมทั้งสิ้น     13 รายการ    1  บัญชี                    0.00</t>
  </si>
  <si>
    <t>================= ===</t>
  </si>
  <si>
    <t>==============</t>
  </si>
  <si>
    <t>หมายเหต</t>
  </si>
  <si>
    <t>ุ  ในช่อ</t>
  </si>
  <si>
    <t>ง 'สถานะ' ถ้า</t>
  </si>
  <si>
    <t>มีอักษร C จะหมายถึงว่า เป็นรายการที่ถูกยกเลิก</t>
  </si>
  <si>
    <t>E จะหมายถึงว่า เป็นรายการที่แก้ไขเพิ่มเติม หลังจากผ่านบัญชีแล้ว (แก้</t>
  </si>
  <si>
    <t>ไขแบบมีร่องรอย)</t>
  </si>
  <si>
    <t>&gt;&gt;&gt;&gt; จบร</t>
  </si>
  <si>
    <t>ายงาน &lt;&lt;</t>
  </si>
  <si>
    <t>&lt;&lt;</t>
  </si>
  <si>
    <t>บริษัท เอกสหกรุ๊ป มอเตอร์  จำกัด</t>
  </si>
  <si>
    <t>รหัสบัญชี</t>
  </si>
  <si>
    <t>ชื่อบัญชี</t>
  </si>
  <si>
    <t>จำนวนเงินตามงบ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</si>
  <si>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</si>
  <si>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</si>
  <si>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</si>
  <si>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</si>
  <si>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</si>
  <si>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M......</t>
  </si>
  <si>
    <t>ณ วันที่ 31 ธันวาคม 2567</t>
  </si>
  <si>
    <t>2205-01-02</t>
  </si>
  <si>
    <t>เงินจอง-รถยนต์-GEELY</t>
  </si>
  <si>
    <t>ยืนยันยอดคงเหลือ ณ. 31 ธันวาคม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</si>
</sst>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/m/yy"/>
    <numFmt numFmtId="188" formatCode="0.00_ ;[Red]\-0.00\ "/>
    <numFmt numFmtId="189" formatCode="#,##0.00_ ;[Red]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10"/>
      <color theme="1"/>
      <name val="Arial"/>
      <family val="2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60">
    <xf numFmtId="0" fontId="0" fillId="0" borderId="0" xfId="0"/>
    <xf numFmtId="0" fontId="18" fillId="0" borderId="0" xfId="0" applyFont="1"/>
    <xf numFmtId="49" fontId="18" fillId="0" borderId="0" xfId="0" applyNumberFormat="1" applyFont="1" applyAlignment="1">
      <alignment horizontal="right"/>
    </xf>
    <xf numFmtId="0" fontId="18" fillId="0" borderId="10" xfId="0" applyFont="1" applyBorder="1" applyAlignment="1">
      <alignment horizontal="center"/>
    </xf>
    <xf numFmtId="187" fontId="19" fillId="0" borderId="10" xfId="0" applyNumberFormat="1" applyFont="1" applyBorder="1" applyAlignment="1">
      <alignment horizontal="left"/>
    </xf>
    <xf numFmtId="0" fontId="19" fillId="0" borderId="10" xfId="0" applyFont="1" applyBorder="1"/>
    <xf numFmtId="0" fontId="20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9" fillId="0" borderId="0" xfId="0" applyFont="1"/>
    <xf numFmtId="40" fontId="18" fillId="0" borderId="0" xfId="0" applyNumberFormat="1" applyFont="1"/>
    <xf numFmtId="14" fontId="19" fillId="0" borderId="0" xfId="0" applyNumberFormat="1" applyFont="1"/>
    <xf numFmtId="16" fontId="19" fillId="0" borderId="0" xfId="0" applyNumberFormat="1" applyFont="1"/>
    <xf numFmtId="4" fontId="19" fillId="0" borderId="0" xfId="0" applyNumberFormat="1" applyFont="1"/>
    <xf numFmtId="188" fontId="19" fillId="0" borderId="10" xfId="0" applyNumberFormat="1" applyFont="1" applyBorder="1"/>
    <xf numFmtId="0" fontId="19" fillId="34" borderId="16" xfId="0" applyFont="1" applyFill="1" applyBorder="1"/>
    <xf numFmtId="0" fontId="23" fillId="34" borderId="17" xfId="0" applyFont="1" applyFill="1" applyBorder="1"/>
    <xf numFmtId="0" fontId="23" fillId="34" borderId="18" xfId="0" applyFont="1" applyFill="1" applyBorder="1"/>
    <xf numFmtId="0" fontId="24" fillId="34" borderId="19" xfId="0" applyFont="1" applyFill="1" applyBorder="1" applyAlignment="1">
      <alignment horizontal="center"/>
    </xf>
    <xf numFmtId="0" fontId="24" fillId="34" borderId="20" xfId="0" applyFont="1" applyFill="1" applyBorder="1"/>
    <xf numFmtId="0" fontId="24" fillId="34" borderId="21" xfId="0" applyFont="1" applyFill="1" applyBorder="1"/>
    <xf numFmtId="49" fontId="26" fillId="34" borderId="19" xfId="43" applyNumberFormat="1" applyFont="1" applyFill="1" applyBorder="1" applyAlignment="1">
      <alignment horizontal="left" vertical="center"/>
    </xf>
    <xf numFmtId="0" fontId="20" fillId="34" borderId="0" xfId="0" applyFont="1" applyFill="1" applyAlignment="1">
      <alignment horizontal="left"/>
    </xf>
    <xf numFmtId="0" fontId="20" fillId="34" borderId="0" xfId="0" applyFont="1" applyFill="1"/>
    <xf numFmtId="40" fontId="19" fillId="34" borderId="22" xfId="42" applyNumberFormat="1" applyFont="1" applyFill="1" applyBorder="1"/>
    <xf numFmtId="40" fontId="20" fillId="34" borderId="0" xfId="0" applyNumberFormat="1" applyFont="1" applyFill="1"/>
    <xf numFmtId="43" fontId="19" fillId="34" borderId="23" xfId="42" applyFont="1" applyFill="1" applyBorder="1"/>
    <xf numFmtId="40" fontId="24" fillId="34" borderId="0" xfId="0" applyNumberFormat="1" applyFont="1" applyFill="1"/>
    <xf numFmtId="43" fontId="20" fillId="34" borderId="0" xfId="42" applyFont="1" applyFill="1" applyBorder="1"/>
    <xf numFmtId="0" fontId="19" fillId="34" borderId="0" xfId="0" applyFont="1" applyFill="1"/>
    <xf numFmtId="40" fontId="19" fillId="34" borderId="0" xfId="42" applyNumberFormat="1" applyFont="1" applyFill="1" applyBorder="1"/>
    <xf numFmtId="0" fontId="19" fillId="34" borderId="0" xfId="0" applyFont="1" applyFill="1" applyAlignment="1">
      <alignment horizontal="center"/>
    </xf>
    <xf numFmtId="40" fontId="19" fillId="34" borderId="0" xfId="42" applyNumberFormat="1" applyFont="1" applyFill="1" applyBorder="1" applyAlignment="1">
      <alignment horizontal="center"/>
    </xf>
    <xf numFmtId="0" fontId="19" fillId="34" borderId="0" xfId="0" applyFont="1" applyFill="1" applyAlignment="1">
      <alignment horizontal="left"/>
    </xf>
    <xf numFmtId="0" fontId="19" fillId="34" borderId="19" xfId="0" applyFont="1" applyFill="1" applyBorder="1"/>
    <xf numFmtId="189" fontId="19" fillId="34" borderId="0" xfId="42" applyNumberFormat="1" applyFont="1" applyFill="1" applyBorder="1"/>
    <xf numFmtId="189" fontId="20" fillId="34" borderId="23" xfId="0" applyNumberFormat="1" applyFont="1" applyFill="1" applyBorder="1"/>
    <xf numFmtId="189" fontId="19" fillId="34" borderId="23" xfId="42" applyNumberFormat="1" applyFont="1" applyFill="1" applyBorder="1"/>
    <xf numFmtId="189" fontId="19" fillId="34" borderId="23" xfId="0" applyNumberFormat="1" applyFont="1" applyFill="1" applyBorder="1"/>
    <xf numFmtId="189" fontId="18" fillId="34" borderId="24" xfId="42" applyNumberFormat="1" applyFont="1" applyFill="1" applyBorder="1"/>
    <xf numFmtId="0" fontId="19" fillId="34" borderId="23" xfId="0" applyFont="1" applyFill="1" applyBorder="1"/>
    <xf numFmtId="0" fontId="19" fillId="34" borderId="25" xfId="0" applyFont="1" applyFill="1" applyBorder="1"/>
    <xf numFmtId="0" fontId="19" fillId="34" borderId="15" xfId="0" applyFont="1" applyFill="1" applyBorder="1"/>
    <xf numFmtId="40" fontId="19" fillId="34" borderId="15" xfId="42" applyNumberFormat="1" applyFont="1" applyFill="1" applyBorder="1"/>
    <xf numFmtId="0" fontId="19" fillId="34" borderId="26" xfId="0" applyFont="1" applyFill="1" applyBorder="1"/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23" xfId="0" applyFont="1" applyBorder="1"/>
    <xf numFmtId="14" fontId="20" fillId="0" borderId="0" xfId="0" applyNumberFormat="1" applyFont="1"/>
    <xf numFmtId="0" fontId="20" fillId="0" borderId="25" xfId="0" applyFont="1" applyBorder="1"/>
    <xf numFmtId="0" fontId="20" fillId="0" borderId="15" xfId="0" applyFont="1" applyBorder="1"/>
    <xf numFmtId="0" fontId="20" fillId="0" borderId="26" xfId="0" applyFont="1" applyBorder="1"/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9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3" xr:uid="{D4682B2D-C2B0-4802-A64A-5DE03F52314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85724</xdr:colOff>
      <xdr:row>0</xdr:row>
      <xdr:rowOff>19050</xdr:rowOff>
    </xdr:from>
    <xdr:to>
      <xdr:col>4</xdr:col>
      <xdr:colOff>1914525</xdr:colOff>
      <xdr:row>5</xdr:row>
      <xdr:rowOff>9525</xdr:rowOff>
    </xdr:to>
    <xdr:pic>
      <xdr:nvPicPr>
        <xdr:cNvPr id="3" name="Picture 2" descr="Geely Ayutthaya - จีลี่ อยุธยา">
          <a:extLst>
            <a:ext uri="{FF2B5EF4-FFF2-40B4-BE49-F238E27FC236}">
              <a16:creationId xmlns:a16="http://schemas.microsoft.com/office/drawing/2014/main" id="{E2FEABDE-79DE-819A-7F45-3215ACE6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" y="19050"/>
          <a:ext cx="182880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D8A5-FAC6-476F-8FEC-33B8307A5547}">
  <dimension ref="A1:A33"/>
  <sheetViews>
    <sheetView workbookViewId="0">
      <selection activeCell="N21" sqref="N21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4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6" spans="1:1" x14ac:dyDescent="0.2">
      <c r="A26" t="s">
        <v>20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6DEB-968C-441E-9492-5898EB01A524}">
  <dimension ref="A1:F33"/>
  <sheetViews>
    <sheetView workbookViewId="0">
      <selection activeCell="K20" sqref="K20"/>
    </sheetView>
  </sheetViews>
  <sheetFormatPr defaultColWidth="9.125" defaultRowHeight="12.75" x14ac:dyDescent="0.2"/>
  <cols>
    <col min="1" max="1" width="10.375" style="9" bestFit="1" customWidth="1"/>
    <col min="2" max="2" width="9.25" style="9" bestFit="1" customWidth="1"/>
    <col min="3" max="3" width="16" style="9" customWidth="1"/>
    <col min="4" max="4" width="22.125" style="9" customWidth="1"/>
    <col min="5" max="5" width="13.75" style="9" customWidth="1"/>
    <col min="6" max="6" width="13.375" style="9" customWidth="1"/>
    <col min="7" max="16384" width="9.125" style="9"/>
  </cols>
  <sheetData>
    <row r="1" spans="1:6" x14ac:dyDescent="0.2">
      <c r="A1" s="9" t="s">
        <v>36</v>
      </c>
      <c r="B1" s="9" t="s">
        <v>37</v>
      </c>
      <c r="C1" s="9" t="s">
        <v>38</v>
      </c>
      <c r="D1" s="9" t="s">
        <v>39</v>
      </c>
      <c r="F1" s="9" t="s">
        <v>40</v>
      </c>
    </row>
    <row r="2" spans="1:6" x14ac:dyDescent="0.2">
      <c r="A2" s="9" t="s">
        <v>41</v>
      </c>
      <c r="B2" s="9" t="s">
        <v>42</v>
      </c>
      <c r="C2" s="9" t="s">
        <v>43</v>
      </c>
    </row>
    <row r="3" spans="1:6" x14ac:dyDescent="0.2">
      <c r="A3" s="9" t="s">
        <v>44</v>
      </c>
      <c r="B3" s="9" t="s">
        <v>45</v>
      </c>
      <c r="C3" s="9" t="s">
        <v>46</v>
      </c>
      <c r="D3" s="9" t="s">
        <v>47</v>
      </c>
      <c r="F3" s="9" t="s">
        <v>48</v>
      </c>
    </row>
    <row r="4" spans="1:6" x14ac:dyDescent="0.2">
      <c r="A4" s="9" t="s">
        <v>49</v>
      </c>
      <c r="B4" s="9" t="s">
        <v>50</v>
      </c>
      <c r="C4" s="11">
        <v>37261</v>
      </c>
      <c r="D4" s="9" t="s">
        <v>51</v>
      </c>
    </row>
    <row r="5" spans="1:6" x14ac:dyDescent="0.2">
      <c r="A5" s="9" t="s">
        <v>52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</row>
    <row r="6" spans="1:6" x14ac:dyDescent="0.2">
      <c r="A6" s="9" t="s">
        <v>29</v>
      </c>
      <c r="B6" s="9" t="s">
        <v>57</v>
      </c>
      <c r="C6" s="9" t="s">
        <v>58</v>
      </c>
      <c r="D6" s="9" t="s">
        <v>59</v>
      </c>
      <c r="E6" s="9" t="s">
        <v>60</v>
      </c>
      <c r="F6" s="9" t="s">
        <v>61</v>
      </c>
    </row>
    <row r="7" spans="1:6" x14ac:dyDescent="0.2">
      <c r="A7" s="9" t="s">
        <v>52</v>
      </c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</row>
    <row r="8" spans="1:6" x14ac:dyDescent="0.2">
      <c r="A8" s="9" t="s">
        <v>62</v>
      </c>
      <c r="B8" s="12">
        <v>45689</v>
      </c>
      <c r="C8" s="9" t="s">
        <v>63</v>
      </c>
      <c r="D8" s="9" t="s">
        <v>64</v>
      </c>
      <c r="E8" s="9" t="s">
        <v>65</v>
      </c>
      <c r="F8" s="9">
        <v>0</v>
      </c>
    </row>
    <row r="9" spans="1:6" x14ac:dyDescent="0.2">
      <c r="A9" s="11">
        <v>24832</v>
      </c>
      <c r="B9" s="9" t="s">
        <v>66</v>
      </c>
      <c r="C9" s="9" t="s">
        <v>67</v>
      </c>
      <c r="D9" s="9" t="s">
        <v>68</v>
      </c>
      <c r="E9" s="9">
        <v>934.58</v>
      </c>
      <c r="F9" s="9">
        <v>-934.58</v>
      </c>
    </row>
    <row r="10" spans="1:6" x14ac:dyDescent="0.2">
      <c r="B10" s="9" t="s">
        <v>66</v>
      </c>
      <c r="C10" s="9" t="s">
        <v>67</v>
      </c>
      <c r="D10" s="9" t="s">
        <v>69</v>
      </c>
      <c r="E10" s="9">
        <v>934.58</v>
      </c>
      <c r="F10" s="13">
        <v>-1869.16</v>
      </c>
    </row>
    <row r="11" spans="1:6" x14ac:dyDescent="0.2">
      <c r="B11" s="9" t="s">
        <v>66</v>
      </c>
      <c r="C11" s="9" t="s">
        <v>67</v>
      </c>
      <c r="D11" s="9" t="s">
        <v>70</v>
      </c>
      <c r="E11" s="9">
        <v>934.58</v>
      </c>
      <c r="F11" s="13">
        <v>-2803.74</v>
      </c>
    </row>
    <row r="12" spans="1:6" x14ac:dyDescent="0.2">
      <c r="B12" s="9" t="s">
        <v>66</v>
      </c>
      <c r="C12" s="9" t="s">
        <v>67</v>
      </c>
      <c r="D12" s="9" t="s">
        <v>71</v>
      </c>
      <c r="E12" s="9">
        <v>934.58</v>
      </c>
      <c r="F12" s="13">
        <v>-3738.32</v>
      </c>
    </row>
    <row r="13" spans="1:6" x14ac:dyDescent="0.2">
      <c r="B13" s="9" t="s">
        <v>66</v>
      </c>
      <c r="C13" s="9" t="s">
        <v>67</v>
      </c>
      <c r="D13" s="9" t="s">
        <v>72</v>
      </c>
      <c r="E13" s="9">
        <v>934.58</v>
      </c>
      <c r="F13" s="13">
        <v>-4672.8999999999996</v>
      </c>
    </row>
    <row r="14" spans="1:6" x14ac:dyDescent="0.2">
      <c r="B14" s="9" t="s">
        <v>66</v>
      </c>
      <c r="C14" s="9" t="s">
        <v>67</v>
      </c>
      <c r="D14" s="9" t="s">
        <v>73</v>
      </c>
      <c r="E14" s="9">
        <v>934.58</v>
      </c>
      <c r="F14" s="13">
        <v>-5607.48</v>
      </c>
    </row>
    <row r="15" spans="1:6" x14ac:dyDescent="0.2">
      <c r="B15" s="9" t="s">
        <v>66</v>
      </c>
      <c r="C15" s="9" t="s">
        <v>67</v>
      </c>
      <c r="D15" s="9" t="s">
        <v>74</v>
      </c>
      <c r="E15" s="9">
        <v>934.58</v>
      </c>
      <c r="F15" s="13">
        <v>-6542.06</v>
      </c>
    </row>
    <row r="16" spans="1:6" x14ac:dyDescent="0.2">
      <c r="B16" s="9" t="s">
        <v>66</v>
      </c>
      <c r="C16" s="9" t="s">
        <v>67</v>
      </c>
      <c r="D16" s="9" t="s">
        <v>75</v>
      </c>
      <c r="E16" s="9">
        <v>934.58</v>
      </c>
      <c r="F16" s="13">
        <v>-7476.64</v>
      </c>
    </row>
    <row r="17" spans="1:6" x14ac:dyDescent="0.2">
      <c r="B17" s="9" t="s">
        <v>66</v>
      </c>
      <c r="C17" s="9" t="s">
        <v>67</v>
      </c>
      <c r="D17" s="9" t="s">
        <v>76</v>
      </c>
      <c r="E17" s="9">
        <v>934.58</v>
      </c>
      <c r="F17" s="13">
        <v>-8411.2199999999993</v>
      </c>
    </row>
    <row r="18" spans="1:6" x14ac:dyDescent="0.2">
      <c r="B18" s="9" t="s">
        <v>66</v>
      </c>
      <c r="C18" s="9" t="s">
        <v>67</v>
      </c>
      <c r="D18" s="9" t="s">
        <v>77</v>
      </c>
      <c r="E18" s="9">
        <v>934.58</v>
      </c>
      <c r="F18" s="13">
        <v>-9345.7999999999993</v>
      </c>
    </row>
    <row r="19" spans="1:6" x14ac:dyDescent="0.2">
      <c r="B19" s="9" t="s">
        <v>66</v>
      </c>
      <c r="C19" s="9" t="s">
        <v>67</v>
      </c>
      <c r="D19" s="9" t="s">
        <v>78</v>
      </c>
      <c r="E19" s="9">
        <v>934.58</v>
      </c>
      <c r="F19" s="13">
        <v>-10280.379999999999</v>
      </c>
    </row>
    <row r="20" spans="1:6" x14ac:dyDescent="0.2">
      <c r="B20" s="9" t="s">
        <v>66</v>
      </c>
      <c r="C20" s="9" t="s">
        <v>67</v>
      </c>
      <c r="D20" s="9" t="s">
        <v>79</v>
      </c>
      <c r="E20" s="9">
        <v>934.58</v>
      </c>
      <c r="F20" s="13">
        <v>-11214.96</v>
      </c>
    </row>
    <row r="21" spans="1:6" x14ac:dyDescent="0.2">
      <c r="A21" s="11">
        <v>24834</v>
      </c>
      <c r="B21" s="9" t="s">
        <v>66</v>
      </c>
      <c r="C21" s="9" t="s">
        <v>80</v>
      </c>
      <c r="D21" s="9" t="s">
        <v>81</v>
      </c>
      <c r="E21" s="9">
        <v>934.58</v>
      </c>
      <c r="F21" s="13">
        <v>-12149.54</v>
      </c>
    </row>
    <row r="22" spans="1:6" x14ac:dyDescent="0.2">
      <c r="D22" s="9" t="s">
        <v>82</v>
      </c>
      <c r="E22" s="9" t="s">
        <v>83</v>
      </c>
    </row>
    <row r="23" spans="1:6" x14ac:dyDescent="0.2">
      <c r="D23" s="9" t="s">
        <v>84</v>
      </c>
      <c r="E23" s="9" t="s">
        <v>85</v>
      </c>
    </row>
    <row r="26" spans="1:6" x14ac:dyDescent="0.2">
      <c r="D26" s="9" t="s">
        <v>82</v>
      </c>
      <c r="E26" s="9" t="s">
        <v>83</v>
      </c>
    </row>
    <row r="27" spans="1:6" x14ac:dyDescent="0.2">
      <c r="D27" s="9" t="s">
        <v>86</v>
      </c>
      <c r="E27" s="13">
        <v>12149.54</v>
      </c>
    </row>
    <row r="28" spans="1:6" x14ac:dyDescent="0.2">
      <c r="D28" s="9" t="s">
        <v>87</v>
      </c>
      <c r="E28" s="9" t="s">
        <v>88</v>
      </c>
    </row>
    <row r="29" spans="1:6" x14ac:dyDescent="0.2">
      <c r="A29" s="9" t="s">
        <v>89</v>
      </c>
      <c r="B29" s="9" t="s">
        <v>90</v>
      </c>
      <c r="C29" s="9" t="s">
        <v>91</v>
      </c>
      <c r="D29" s="9" t="s">
        <v>92</v>
      </c>
    </row>
    <row r="30" spans="1:6" x14ac:dyDescent="0.2">
      <c r="D30" s="9" t="s">
        <v>93</v>
      </c>
      <c r="E30" s="9" t="s">
        <v>94</v>
      </c>
    </row>
    <row r="32" spans="1:6" x14ac:dyDescent="0.2">
      <c r="A32" s="9" t="s">
        <v>95</v>
      </c>
      <c r="B32" s="9" t="s">
        <v>96</v>
      </c>
      <c r="C32" s="9" t="s">
        <v>97</v>
      </c>
    </row>
    <row r="33" spans="1:1" x14ac:dyDescent="0.2">
      <c r="A33" s="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D1D4-C77F-4EF7-A6BE-1AFDA1F76FE7}">
  <dimension ref="A1:E19"/>
  <sheetViews>
    <sheetView workbookViewId="0">
      <selection activeCell="C13" sqref="C12:C13"/>
    </sheetView>
  </sheetViews>
  <sheetFormatPr defaultColWidth="36.625" defaultRowHeight="14.25" x14ac:dyDescent="0.2"/>
  <cols>
    <col min="1" max="1" width="12" customWidth="1"/>
    <col min="2" max="2" width="14.375" customWidth="1"/>
    <col min="3" max="3" width="33.875" customWidth="1"/>
    <col min="4" max="4" width="15.875" customWidth="1"/>
    <col min="5" max="5" width="15.75" customWidth="1"/>
  </cols>
  <sheetData>
    <row r="1" spans="1:5" s="1" customFormat="1" ht="20.100000000000001" customHeight="1" x14ac:dyDescent="0.2">
      <c r="A1" s="59" t="s">
        <v>28</v>
      </c>
      <c r="B1" s="59"/>
      <c r="C1" s="59"/>
      <c r="D1" s="59"/>
      <c r="E1" s="59"/>
    </row>
    <row r="2" spans="1:5" s="1" customFormat="1" ht="20.100000000000001" customHeight="1" x14ac:dyDescent="0.2">
      <c r="A2" s="59" t="s">
        <v>34</v>
      </c>
      <c r="B2" s="59"/>
      <c r="C2" s="59"/>
      <c r="D2" s="59"/>
      <c r="E2" s="59"/>
    </row>
    <row r="3" spans="1:5" s="1" customFormat="1" ht="20.100000000000001" customHeight="1" x14ac:dyDescent="0.2">
      <c r="A3" s="1" t="s">
        <v>35</v>
      </c>
    </row>
    <row r="4" spans="1:5" s="1" customFormat="1" ht="20.100000000000001" customHeight="1" x14ac:dyDescent="0.2">
      <c r="A4" s="1" t="s">
        <v>110</v>
      </c>
      <c r="E4" s="2" t="s">
        <v>109</v>
      </c>
    </row>
    <row r="5" spans="1:5" s="1" customFormat="1" ht="20.100000000000001" customHeight="1" x14ac:dyDescent="0.2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</row>
    <row r="6" spans="1:5" s="7" customFormat="1" ht="20.100000000000001" customHeight="1" x14ac:dyDescent="0.2">
      <c r="A6" s="4">
        <v>243978</v>
      </c>
      <c r="B6" s="5" t="s">
        <v>67</v>
      </c>
      <c r="C6" s="5" t="s">
        <v>68</v>
      </c>
      <c r="D6" s="14">
        <v>-934.58</v>
      </c>
      <c r="E6" s="6"/>
    </row>
    <row r="7" spans="1:5" s="7" customFormat="1" ht="20.100000000000001" customHeight="1" x14ac:dyDescent="0.2">
      <c r="A7" s="4">
        <v>243978</v>
      </c>
      <c r="B7" s="5" t="s">
        <v>67</v>
      </c>
      <c r="C7" s="5" t="s">
        <v>69</v>
      </c>
      <c r="D7" s="14">
        <v>-934.58</v>
      </c>
      <c r="E7" s="6"/>
    </row>
    <row r="8" spans="1:5" s="7" customFormat="1" ht="20.100000000000001" customHeight="1" x14ac:dyDescent="0.2">
      <c r="A8" s="4">
        <v>243978</v>
      </c>
      <c r="B8" s="5" t="s">
        <v>67</v>
      </c>
      <c r="C8" s="5" t="s">
        <v>70</v>
      </c>
      <c r="D8" s="14">
        <v>-934.58</v>
      </c>
      <c r="E8" s="6"/>
    </row>
    <row r="9" spans="1:5" s="7" customFormat="1" ht="20.100000000000001" customHeight="1" x14ac:dyDescent="0.2">
      <c r="A9" s="4">
        <v>243978</v>
      </c>
      <c r="B9" s="5" t="s">
        <v>67</v>
      </c>
      <c r="C9" s="5" t="s">
        <v>71</v>
      </c>
      <c r="D9" s="14">
        <v>-934.58</v>
      </c>
      <c r="E9" s="6"/>
    </row>
    <row r="10" spans="1:5" s="7" customFormat="1" ht="20.100000000000001" customHeight="1" x14ac:dyDescent="0.2">
      <c r="A10" s="4">
        <v>243978</v>
      </c>
      <c r="B10" s="5" t="s">
        <v>67</v>
      </c>
      <c r="C10" s="5" t="s">
        <v>72</v>
      </c>
      <c r="D10" s="14">
        <v>-934.58</v>
      </c>
      <c r="E10" s="6"/>
    </row>
    <row r="11" spans="1:5" s="7" customFormat="1" ht="20.100000000000001" customHeight="1" x14ac:dyDescent="0.2">
      <c r="A11" s="4">
        <v>243978</v>
      </c>
      <c r="B11" s="5" t="s">
        <v>67</v>
      </c>
      <c r="C11" s="5" t="s">
        <v>73</v>
      </c>
      <c r="D11" s="14">
        <v>-934.58</v>
      </c>
      <c r="E11" s="6"/>
    </row>
    <row r="12" spans="1:5" s="7" customFormat="1" ht="20.100000000000001" customHeight="1" x14ac:dyDescent="0.2">
      <c r="A12" s="4">
        <v>243978</v>
      </c>
      <c r="B12" s="5" t="s">
        <v>67</v>
      </c>
      <c r="C12" s="5" t="s">
        <v>74</v>
      </c>
      <c r="D12" s="14">
        <v>-934.58</v>
      </c>
      <c r="E12" s="6"/>
    </row>
    <row r="13" spans="1:5" s="7" customFormat="1" ht="20.100000000000001" customHeight="1" x14ac:dyDescent="0.2">
      <c r="A13" s="4">
        <v>243978</v>
      </c>
      <c r="B13" s="5" t="s">
        <v>67</v>
      </c>
      <c r="C13" s="5" t="s">
        <v>75</v>
      </c>
      <c r="D13" s="14">
        <v>-934.58</v>
      </c>
      <c r="E13" s="6"/>
    </row>
    <row r="14" spans="1:5" s="7" customFormat="1" ht="20.100000000000001" customHeight="1" x14ac:dyDescent="0.2">
      <c r="A14" s="4">
        <v>243978</v>
      </c>
      <c r="B14" s="5" t="s">
        <v>67</v>
      </c>
      <c r="C14" s="5" t="s">
        <v>76</v>
      </c>
      <c r="D14" s="14">
        <v>-934.58</v>
      </c>
      <c r="E14" s="6"/>
    </row>
    <row r="15" spans="1:5" s="7" customFormat="1" ht="20.100000000000001" customHeight="1" x14ac:dyDescent="0.2">
      <c r="A15" s="4">
        <v>243978</v>
      </c>
      <c r="B15" s="5" t="s">
        <v>67</v>
      </c>
      <c r="C15" s="5" t="s">
        <v>77</v>
      </c>
      <c r="D15" s="14">
        <v>-934.58</v>
      </c>
      <c r="E15" s="6"/>
    </row>
    <row r="16" spans="1:5" s="7" customFormat="1" ht="20.100000000000001" customHeight="1" x14ac:dyDescent="0.2">
      <c r="A16" s="4">
        <v>243978</v>
      </c>
      <c r="B16" s="5" t="s">
        <v>67</v>
      </c>
      <c r="C16" s="5" t="s">
        <v>78</v>
      </c>
      <c r="D16" s="14">
        <v>-934.58</v>
      </c>
      <c r="E16" s="6"/>
    </row>
    <row r="17" spans="1:5" s="7" customFormat="1" ht="20.100000000000001" customHeight="1" x14ac:dyDescent="0.2">
      <c r="A17" s="4">
        <v>243978</v>
      </c>
      <c r="B17" s="5" t="s">
        <v>67</v>
      </c>
      <c r="C17" s="5" t="s">
        <v>79</v>
      </c>
      <c r="D17" s="14">
        <v>-934.58</v>
      </c>
      <c r="E17" s="6"/>
    </row>
    <row r="18" spans="1:5" s="7" customFormat="1" ht="20.100000000000001" customHeight="1" x14ac:dyDescent="0.2">
      <c r="A18" s="4">
        <v>243980</v>
      </c>
      <c r="B18" s="5" t="s">
        <v>80</v>
      </c>
      <c r="C18" s="5" t="s">
        <v>81</v>
      </c>
      <c r="D18" s="14">
        <v>-934.58</v>
      </c>
      <c r="E18" s="6"/>
    </row>
    <row r="19" spans="1:5" x14ac:dyDescent="0.2">
      <c r="D19" s="10">
        <f>SUM(D6:D18)</f>
        <v>-12149.54</v>
      </c>
    </row>
  </sheetData>
  <mergeCells count="2">
    <mergeCell ref="A1:E1"/>
    <mergeCell ref="A2:E2"/>
  </mergeCells>
  <pageMargins left="0.51181102362204722" right="0.51181102362204722" top="0.55118110236220474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50FE-994B-4D8D-BF1F-4823FAD2052E}">
  <dimension ref="A1:F30"/>
  <sheetViews>
    <sheetView tabSelected="1" workbookViewId="0">
      <selection activeCell="I8" sqref="I8"/>
    </sheetView>
  </sheetViews>
  <sheetFormatPr defaultRowHeight="14.25" x14ac:dyDescent="0.2"/>
  <cols>
    <col min="1" max="1" width="11.75" customWidth="1"/>
    <col min="2" max="2" width="5.375" customWidth="1"/>
    <col min="3" max="3" width="9.75" customWidth="1"/>
    <col min="4" max="4" width="4.375" customWidth="1"/>
    <col min="5" max="5" width="34.375" customWidth="1"/>
    <col min="6" max="6" width="25.75" customWidth="1"/>
    <col min="257" max="257" width="11.75" customWidth="1"/>
    <col min="258" max="258" width="5.375" customWidth="1"/>
    <col min="259" max="259" width="9.75" customWidth="1"/>
    <col min="260" max="260" width="4.375" customWidth="1"/>
    <col min="261" max="261" width="34.375" customWidth="1"/>
    <col min="262" max="262" width="25.75" customWidth="1"/>
    <col min="513" max="513" width="11.75" customWidth="1"/>
    <col min="514" max="514" width="5.375" customWidth="1"/>
    <col min="515" max="515" width="9.75" customWidth="1"/>
    <col min="516" max="516" width="4.375" customWidth="1"/>
    <col min="517" max="517" width="34.375" customWidth="1"/>
    <col min="518" max="518" width="25.75" customWidth="1"/>
    <col min="769" max="769" width="11.75" customWidth="1"/>
    <col min="770" max="770" width="5.375" customWidth="1"/>
    <col min="771" max="771" width="9.75" customWidth="1"/>
    <col min="772" max="772" width="4.375" customWidth="1"/>
    <col min="773" max="773" width="34.375" customWidth="1"/>
    <col min="774" max="774" width="25.75" customWidth="1"/>
    <col min="1025" max="1025" width="11.75" customWidth="1"/>
    <col min="1026" max="1026" width="5.375" customWidth="1"/>
    <col min="1027" max="1027" width="9.75" customWidth="1"/>
    <col min="1028" max="1028" width="4.375" customWidth="1"/>
    <col min="1029" max="1029" width="34.375" customWidth="1"/>
    <col min="1030" max="1030" width="25.75" customWidth="1"/>
    <col min="1281" max="1281" width="11.75" customWidth="1"/>
    <col min="1282" max="1282" width="5.375" customWidth="1"/>
    <col min="1283" max="1283" width="9.75" customWidth="1"/>
    <col min="1284" max="1284" width="4.375" customWidth="1"/>
    <col min="1285" max="1285" width="34.375" customWidth="1"/>
    <col min="1286" max="1286" width="25.75" customWidth="1"/>
    <col min="1537" max="1537" width="11.75" customWidth="1"/>
    <col min="1538" max="1538" width="5.375" customWidth="1"/>
    <col min="1539" max="1539" width="9.75" customWidth="1"/>
    <col min="1540" max="1540" width="4.375" customWidth="1"/>
    <col min="1541" max="1541" width="34.375" customWidth="1"/>
    <col min="1542" max="1542" width="25.75" customWidth="1"/>
    <col min="1793" max="1793" width="11.75" customWidth="1"/>
    <col min="1794" max="1794" width="5.375" customWidth="1"/>
    <col min="1795" max="1795" width="9.75" customWidth="1"/>
    <col min="1796" max="1796" width="4.375" customWidth="1"/>
    <col min="1797" max="1797" width="34.375" customWidth="1"/>
    <col min="1798" max="1798" width="25.75" customWidth="1"/>
    <col min="2049" max="2049" width="11.75" customWidth="1"/>
    <col min="2050" max="2050" width="5.375" customWidth="1"/>
    <col min="2051" max="2051" width="9.75" customWidth="1"/>
    <col min="2052" max="2052" width="4.375" customWidth="1"/>
    <col min="2053" max="2053" width="34.375" customWidth="1"/>
    <col min="2054" max="2054" width="25.75" customWidth="1"/>
    <col min="2305" max="2305" width="11.75" customWidth="1"/>
    <col min="2306" max="2306" width="5.375" customWidth="1"/>
    <col min="2307" max="2307" width="9.75" customWidth="1"/>
    <col min="2308" max="2308" width="4.375" customWidth="1"/>
    <col min="2309" max="2309" width="34.375" customWidth="1"/>
    <col min="2310" max="2310" width="25.75" customWidth="1"/>
    <col min="2561" max="2561" width="11.75" customWidth="1"/>
    <col min="2562" max="2562" width="5.375" customWidth="1"/>
    <col min="2563" max="2563" width="9.75" customWidth="1"/>
    <col min="2564" max="2564" width="4.375" customWidth="1"/>
    <col min="2565" max="2565" width="34.375" customWidth="1"/>
    <col min="2566" max="2566" width="25.75" customWidth="1"/>
    <col min="2817" max="2817" width="11.75" customWidth="1"/>
    <col min="2818" max="2818" width="5.375" customWidth="1"/>
    <col min="2819" max="2819" width="9.75" customWidth="1"/>
    <col min="2820" max="2820" width="4.375" customWidth="1"/>
    <col min="2821" max="2821" width="34.375" customWidth="1"/>
    <col min="2822" max="2822" width="25.75" customWidth="1"/>
    <col min="3073" max="3073" width="11.75" customWidth="1"/>
    <col min="3074" max="3074" width="5.375" customWidth="1"/>
    <col min="3075" max="3075" width="9.75" customWidth="1"/>
    <col min="3076" max="3076" width="4.375" customWidth="1"/>
    <col min="3077" max="3077" width="34.375" customWidth="1"/>
    <col min="3078" max="3078" width="25.75" customWidth="1"/>
    <col min="3329" max="3329" width="11.75" customWidth="1"/>
    <col min="3330" max="3330" width="5.375" customWidth="1"/>
    <col min="3331" max="3331" width="9.75" customWidth="1"/>
    <col min="3332" max="3332" width="4.375" customWidth="1"/>
    <col min="3333" max="3333" width="34.375" customWidth="1"/>
    <col min="3334" max="3334" width="25.75" customWidth="1"/>
    <col min="3585" max="3585" width="11.75" customWidth="1"/>
    <col min="3586" max="3586" width="5.375" customWidth="1"/>
    <col min="3587" max="3587" width="9.75" customWidth="1"/>
    <col min="3588" max="3588" width="4.375" customWidth="1"/>
    <col min="3589" max="3589" width="34.375" customWidth="1"/>
    <col min="3590" max="3590" width="25.75" customWidth="1"/>
    <col min="3841" max="3841" width="11.75" customWidth="1"/>
    <col min="3842" max="3842" width="5.375" customWidth="1"/>
    <col min="3843" max="3843" width="9.75" customWidth="1"/>
    <col min="3844" max="3844" width="4.375" customWidth="1"/>
    <col min="3845" max="3845" width="34.375" customWidth="1"/>
    <col min="3846" max="3846" width="25.75" customWidth="1"/>
    <col min="4097" max="4097" width="11.75" customWidth="1"/>
    <col min="4098" max="4098" width="5.375" customWidth="1"/>
    <col min="4099" max="4099" width="9.75" customWidth="1"/>
    <col min="4100" max="4100" width="4.375" customWidth="1"/>
    <col min="4101" max="4101" width="34.375" customWidth="1"/>
    <col min="4102" max="4102" width="25.75" customWidth="1"/>
    <col min="4353" max="4353" width="11.75" customWidth="1"/>
    <col min="4354" max="4354" width="5.375" customWidth="1"/>
    <col min="4355" max="4355" width="9.75" customWidth="1"/>
    <col min="4356" max="4356" width="4.375" customWidth="1"/>
    <col min="4357" max="4357" width="34.375" customWidth="1"/>
    <col min="4358" max="4358" width="25.75" customWidth="1"/>
    <col min="4609" max="4609" width="11.75" customWidth="1"/>
    <col min="4610" max="4610" width="5.375" customWidth="1"/>
    <col min="4611" max="4611" width="9.75" customWidth="1"/>
    <col min="4612" max="4612" width="4.375" customWidth="1"/>
    <col min="4613" max="4613" width="34.375" customWidth="1"/>
    <col min="4614" max="4614" width="25.75" customWidth="1"/>
    <col min="4865" max="4865" width="11.75" customWidth="1"/>
    <col min="4866" max="4866" width="5.375" customWidth="1"/>
    <col min="4867" max="4867" width="9.75" customWidth="1"/>
    <col min="4868" max="4868" width="4.375" customWidth="1"/>
    <col min="4869" max="4869" width="34.375" customWidth="1"/>
    <col min="4870" max="4870" width="25.75" customWidth="1"/>
    <col min="5121" max="5121" width="11.75" customWidth="1"/>
    <col min="5122" max="5122" width="5.375" customWidth="1"/>
    <col min="5123" max="5123" width="9.75" customWidth="1"/>
    <col min="5124" max="5124" width="4.375" customWidth="1"/>
    <col min="5125" max="5125" width="34.375" customWidth="1"/>
    <col min="5126" max="5126" width="25.75" customWidth="1"/>
    <col min="5377" max="5377" width="11.75" customWidth="1"/>
    <col min="5378" max="5378" width="5.375" customWidth="1"/>
    <col min="5379" max="5379" width="9.75" customWidth="1"/>
    <col min="5380" max="5380" width="4.375" customWidth="1"/>
    <col min="5381" max="5381" width="34.375" customWidth="1"/>
    <col min="5382" max="5382" width="25.75" customWidth="1"/>
    <col min="5633" max="5633" width="11.75" customWidth="1"/>
    <col min="5634" max="5634" width="5.375" customWidth="1"/>
    <col min="5635" max="5635" width="9.75" customWidth="1"/>
    <col min="5636" max="5636" width="4.375" customWidth="1"/>
    <col min="5637" max="5637" width="34.375" customWidth="1"/>
    <col min="5638" max="5638" width="25.75" customWidth="1"/>
    <col min="5889" max="5889" width="11.75" customWidth="1"/>
    <col min="5890" max="5890" width="5.375" customWidth="1"/>
    <col min="5891" max="5891" width="9.75" customWidth="1"/>
    <col min="5892" max="5892" width="4.375" customWidth="1"/>
    <col min="5893" max="5893" width="34.375" customWidth="1"/>
    <col min="5894" max="5894" width="25.75" customWidth="1"/>
    <col min="6145" max="6145" width="11.75" customWidth="1"/>
    <col min="6146" max="6146" width="5.375" customWidth="1"/>
    <col min="6147" max="6147" width="9.75" customWidth="1"/>
    <col min="6148" max="6148" width="4.375" customWidth="1"/>
    <col min="6149" max="6149" width="34.375" customWidth="1"/>
    <col min="6150" max="6150" width="25.75" customWidth="1"/>
    <col min="6401" max="6401" width="11.75" customWidth="1"/>
    <col min="6402" max="6402" width="5.375" customWidth="1"/>
    <col min="6403" max="6403" width="9.75" customWidth="1"/>
    <col min="6404" max="6404" width="4.375" customWidth="1"/>
    <col min="6405" max="6405" width="34.375" customWidth="1"/>
    <col min="6406" max="6406" width="25.75" customWidth="1"/>
    <col min="6657" max="6657" width="11.75" customWidth="1"/>
    <col min="6658" max="6658" width="5.375" customWidth="1"/>
    <col min="6659" max="6659" width="9.75" customWidth="1"/>
    <col min="6660" max="6660" width="4.375" customWidth="1"/>
    <col min="6661" max="6661" width="34.375" customWidth="1"/>
    <col min="6662" max="6662" width="25.75" customWidth="1"/>
    <col min="6913" max="6913" width="11.75" customWidth="1"/>
    <col min="6914" max="6914" width="5.375" customWidth="1"/>
    <col min="6915" max="6915" width="9.75" customWidth="1"/>
    <col min="6916" max="6916" width="4.375" customWidth="1"/>
    <col min="6917" max="6917" width="34.375" customWidth="1"/>
    <col min="6918" max="6918" width="25.75" customWidth="1"/>
    <col min="7169" max="7169" width="11.75" customWidth="1"/>
    <col min="7170" max="7170" width="5.375" customWidth="1"/>
    <col min="7171" max="7171" width="9.75" customWidth="1"/>
    <col min="7172" max="7172" width="4.375" customWidth="1"/>
    <col min="7173" max="7173" width="34.375" customWidth="1"/>
    <col min="7174" max="7174" width="25.75" customWidth="1"/>
    <col min="7425" max="7425" width="11.75" customWidth="1"/>
    <col min="7426" max="7426" width="5.375" customWidth="1"/>
    <col min="7427" max="7427" width="9.75" customWidth="1"/>
    <col min="7428" max="7428" width="4.375" customWidth="1"/>
    <col min="7429" max="7429" width="34.375" customWidth="1"/>
    <col min="7430" max="7430" width="25.75" customWidth="1"/>
    <col min="7681" max="7681" width="11.75" customWidth="1"/>
    <col min="7682" max="7682" width="5.375" customWidth="1"/>
    <col min="7683" max="7683" width="9.75" customWidth="1"/>
    <col min="7684" max="7684" width="4.375" customWidth="1"/>
    <col min="7685" max="7685" width="34.375" customWidth="1"/>
    <col min="7686" max="7686" width="25.75" customWidth="1"/>
    <col min="7937" max="7937" width="11.75" customWidth="1"/>
    <col min="7938" max="7938" width="5.375" customWidth="1"/>
    <col min="7939" max="7939" width="9.75" customWidth="1"/>
    <col min="7940" max="7940" width="4.375" customWidth="1"/>
    <col min="7941" max="7941" width="34.375" customWidth="1"/>
    <col min="7942" max="7942" width="25.75" customWidth="1"/>
    <col min="8193" max="8193" width="11.75" customWidth="1"/>
    <col min="8194" max="8194" width="5.375" customWidth="1"/>
    <col min="8195" max="8195" width="9.75" customWidth="1"/>
    <col min="8196" max="8196" width="4.375" customWidth="1"/>
    <col min="8197" max="8197" width="34.375" customWidth="1"/>
    <col min="8198" max="8198" width="25.75" customWidth="1"/>
    <col min="8449" max="8449" width="11.75" customWidth="1"/>
    <col min="8450" max="8450" width="5.375" customWidth="1"/>
    <col min="8451" max="8451" width="9.75" customWidth="1"/>
    <col min="8452" max="8452" width="4.375" customWidth="1"/>
    <col min="8453" max="8453" width="34.375" customWidth="1"/>
    <col min="8454" max="8454" width="25.75" customWidth="1"/>
    <col min="8705" max="8705" width="11.75" customWidth="1"/>
    <col min="8706" max="8706" width="5.375" customWidth="1"/>
    <col min="8707" max="8707" width="9.75" customWidth="1"/>
    <col min="8708" max="8708" width="4.375" customWidth="1"/>
    <col min="8709" max="8709" width="34.375" customWidth="1"/>
    <col min="8710" max="8710" width="25.75" customWidth="1"/>
    <col min="8961" max="8961" width="11.75" customWidth="1"/>
    <col min="8962" max="8962" width="5.375" customWidth="1"/>
    <col min="8963" max="8963" width="9.75" customWidth="1"/>
    <col min="8964" max="8964" width="4.375" customWidth="1"/>
    <col min="8965" max="8965" width="34.375" customWidth="1"/>
    <col min="8966" max="8966" width="25.75" customWidth="1"/>
    <col min="9217" max="9217" width="11.75" customWidth="1"/>
    <col min="9218" max="9218" width="5.375" customWidth="1"/>
    <col min="9219" max="9219" width="9.75" customWidth="1"/>
    <col min="9220" max="9220" width="4.375" customWidth="1"/>
    <col min="9221" max="9221" width="34.375" customWidth="1"/>
    <col min="9222" max="9222" width="25.75" customWidth="1"/>
    <col min="9473" max="9473" width="11.75" customWidth="1"/>
    <col min="9474" max="9474" width="5.375" customWidth="1"/>
    <col min="9475" max="9475" width="9.75" customWidth="1"/>
    <col min="9476" max="9476" width="4.375" customWidth="1"/>
    <col min="9477" max="9477" width="34.375" customWidth="1"/>
    <col min="9478" max="9478" width="25.75" customWidth="1"/>
    <col min="9729" max="9729" width="11.75" customWidth="1"/>
    <col min="9730" max="9730" width="5.375" customWidth="1"/>
    <col min="9731" max="9731" width="9.75" customWidth="1"/>
    <col min="9732" max="9732" width="4.375" customWidth="1"/>
    <col min="9733" max="9733" width="34.375" customWidth="1"/>
    <col min="9734" max="9734" width="25.75" customWidth="1"/>
    <col min="9985" max="9985" width="11.75" customWidth="1"/>
    <col min="9986" max="9986" width="5.375" customWidth="1"/>
    <col min="9987" max="9987" width="9.75" customWidth="1"/>
    <col min="9988" max="9988" width="4.375" customWidth="1"/>
    <col min="9989" max="9989" width="34.375" customWidth="1"/>
    <col min="9990" max="9990" width="25.75" customWidth="1"/>
    <col min="10241" max="10241" width="11.75" customWidth="1"/>
    <col min="10242" max="10242" width="5.375" customWidth="1"/>
    <col min="10243" max="10243" width="9.75" customWidth="1"/>
    <col min="10244" max="10244" width="4.375" customWidth="1"/>
    <col min="10245" max="10245" width="34.375" customWidth="1"/>
    <col min="10246" max="10246" width="25.75" customWidth="1"/>
    <col min="10497" max="10497" width="11.75" customWidth="1"/>
    <col min="10498" max="10498" width="5.375" customWidth="1"/>
    <col min="10499" max="10499" width="9.75" customWidth="1"/>
    <col min="10500" max="10500" width="4.375" customWidth="1"/>
    <col min="10501" max="10501" width="34.375" customWidth="1"/>
    <col min="10502" max="10502" width="25.75" customWidth="1"/>
    <col min="10753" max="10753" width="11.75" customWidth="1"/>
    <col min="10754" max="10754" width="5.375" customWidth="1"/>
    <col min="10755" max="10755" width="9.75" customWidth="1"/>
    <col min="10756" max="10756" width="4.375" customWidth="1"/>
    <col min="10757" max="10757" width="34.375" customWidth="1"/>
    <col min="10758" max="10758" width="25.75" customWidth="1"/>
    <col min="11009" max="11009" width="11.75" customWidth="1"/>
    <col min="11010" max="11010" width="5.375" customWidth="1"/>
    <col min="11011" max="11011" width="9.75" customWidth="1"/>
    <col min="11012" max="11012" width="4.375" customWidth="1"/>
    <col min="11013" max="11013" width="34.375" customWidth="1"/>
    <col min="11014" max="11014" width="25.75" customWidth="1"/>
    <col min="11265" max="11265" width="11.75" customWidth="1"/>
    <col min="11266" max="11266" width="5.375" customWidth="1"/>
    <col min="11267" max="11267" width="9.75" customWidth="1"/>
    <col min="11268" max="11268" width="4.375" customWidth="1"/>
    <col min="11269" max="11269" width="34.375" customWidth="1"/>
    <col min="11270" max="11270" width="25.75" customWidth="1"/>
    <col min="11521" max="11521" width="11.75" customWidth="1"/>
    <col min="11522" max="11522" width="5.375" customWidth="1"/>
    <col min="11523" max="11523" width="9.75" customWidth="1"/>
    <col min="11524" max="11524" width="4.375" customWidth="1"/>
    <col min="11525" max="11525" width="34.375" customWidth="1"/>
    <col min="11526" max="11526" width="25.75" customWidth="1"/>
    <col min="11777" max="11777" width="11.75" customWidth="1"/>
    <col min="11778" max="11778" width="5.375" customWidth="1"/>
    <col min="11779" max="11779" width="9.75" customWidth="1"/>
    <col min="11780" max="11780" width="4.375" customWidth="1"/>
    <col min="11781" max="11781" width="34.375" customWidth="1"/>
    <col min="11782" max="11782" width="25.75" customWidth="1"/>
    <col min="12033" max="12033" width="11.75" customWidth="1"/>
    <col min="12034" max="12034" width="5.375" customWidth="1"/>
    <col min="12035" max="12035" width="9.75" customWidth="1"/>
    <col min="12036" max="12036" width="4.375" customWidth="1"/>
    <col min="12037" max="12037" width="34.375" customWidth="1"/>
    <col min="12038" max="12038" width="25.75" customWidth="1"/>
    <col min="12289" max="12289" width="11.75" customWidth="1"/>
    <col min="12290" max="12290" width="5.375" customWidth="1"/>
    <col min="12291" max="12291" width="9.75" customWidth="1"/>
    <col min="12292" max="12292" width="4.375" customWidth="1"/>
    <col min="12293" max="12293" width="34.375" customWidth="1"/>
    <col min="12294" max="12294" width="25.75" customWidth="1"/>
    <col min="12545" max="12545" width="11.75" customWidth="1"/>
    <col min="12546" max="12546" width="5.375" customWidth="1"/>
    <col min="12547" max="12547" width="9.75" customWidth="1"/>
    <col min="12548" max="12548" width="4.375" customWidth="1"/>
    <col min="12549" max="12549" width="34.375" customWidth="1"/>
    <col min="12550" max="12550" width="25.75" customWidth="1"/>
    <col min="12801" max="12801" width="11.75" customWidth="1"/>
    <col min="12802" max="12802" width="5.375" customWidth="1"/>
    <col min="12803" max="12803" width="9.75" customWidth="1"/>
    <col min="12804" max="12804" width="4.375" customWidth="1"/>
    <col min="12805" max="12805" width="34.375" customWidth="1"/>
    <col min="12806" max="12806" width="25.75" customWidth="1"/>
    <col min="13057" max="13057" width="11.75" customWidth="1"/>
    <col min="13058" max="13058" width="5.375" customWidth="1"/>
    <col min="13059" max="13059" width="9.75" customWidth="1"/>
    <col min="13060" max="13060" width="4.375" customWidth="1"/>
    <col min="13061" max="13061" width="34.375" customWidth="1"/>
    <col min="13062" max="13062" width="25.75" customWidth="1"/>
    <col min="13313" max="13313" width="11.75" customWidth="1"/>
    <col min="13314" max="13314" width="5.375" customWidth="1"/>
    <col min="13315" max="13315" width="9.75" customWidth="1"/>
    <col min="13316" max="13316" width="4.375" customWidth="1"/>
    <col min="13317" max="13317" width="34.375" customWidth="1"/>
    <col min="13318" max="13318" width="25.75" customWidth="1"/>
    <col min="13569" max="13569" width="11.75" customWidth="1"/>
    <col min="13570" max="13570" width="5.375" customWidth="1"/>
    <col min="13571" max="13571" width="9.75" customWidth="1"/>
    <col min="13572" max="13572" width="4.375" customWidth="1"/>
    <col min="13573" max="13573" width="34.375" customWidth="1"/>
    <col min="13574" max="13574" width="25.75" customWidth="1"/>
    <col min="13825" max="13825" width="11.75" customWidth="1"/>
    <col min="13826" max="13826" width="5.375" customWidth="1"/>
    <col min="13827" max="13827" width="9.75" customWidth="1"/>
    <col min="13828" max="13828" width="4.375" customWidth="1"/>
    <col min="13829" max="13829" width="34.375" customWidth="1"/>
    <col min="13830" max="13830" width="25.75" customWidth="1"/>
    <col min="14081" max="14081" width="11.75" customWidth="1"/>
    <col min="14082" max="14082" width="5.375" customWidth="1"/>
    <col min="14083" max="14083" width="9.75" customWidth="1"/>
    <col min="14084" max="14084" width="4.375" customWidth="1"/>
    <col min="14085" max="14085" width="34.375" customWidth="1"/>
    <col min="14086" max="14086" width="25.75" customWidth="1"/>
    <col min="14337" max="14337" width="11.75" customWidth="1"/>
    <col min="14338" max="14338" width="5.375" customWidth="1"/>
    <col min="14339" max="14339" width="9.75" customWidth="1"/>
    <col min="14340" max="14340" width="4.375" customWidth="1"/>
    <col min="14341" max="14341" width="34.375" customWidth="1"/>
    <col min="14342" max="14342" width="25.75" customWidth="1"/>
    <col min="14593" max="14593" width="11.75" customWidth="1"/>
    <col min="14594" max="14594" width="5.375" customWidth="1"/>
    <col min="14595" max="14595" width="9.75" customWidth="1"/>
    <col min="14596" max="14596" width="4.375" customWidth="1"/>
    <col min="14597" max="14597" width="34.375" customWidth="1"/>
    <col min="14598" max="14598" width="25.75" customWidth="1"/>
    <col min="14849" max="14849" width="11.75" customWidth="1"/>
    <col min="14850" max="14850" width="5.375" customWidth="1"/>
    <col min="14851" max="14851" width="9.75" customWidth="1"/>
    <col min="14852" max="14852" width="4.375" customWidth="1"/>
    <col min="14853" max="14853" width="34.375" customWidth="1"/>
    <col min="14854" max="14854" width="25.75" customWidth="1"/>
    <col min="15105" max="15105" width="11.75" customWidth="1"/>
    <col min="15106" max="15106" width="5.375" customWidth="1"/>
    <col min="15107" max="15107" width="9.75" customWidth="1"/>
    <col min="15108" max="15108" width="4.375" customWidth="1"/>
    <col min="15109" max="15109" width="34.375" customWidth="1"/>
    <col min="15110" max="15110" width="25.75" customWidth="1"/>
    <col min="15361" max="15361" width="11.75" customWidth="1"/>
    <col min="15362" max="15362" width="5.375" customWidth="1"/>
    <col min="15363" max="15363" width="9.75" customWidth="1"/>
    <col min="15364" max="15364" width="4.375" customWidth="1"/>
    <col min="15365" max="15365" width="34.375" customWidth="1"/>
    <col min="15366" max="15366" width="25.75" customWidth="1"/>
    <col min="15617" max="15617" width="11.75" customWidth="1"/>
    <col min="15618" max="15618" width="5.375" customWidth="1"/>
    <col min="15619" max="15619" width="9.75" customWidth="1"/>
    <col min="15620" max="15620" width="4.375" customWidth="1"/>
    <col min="15621" max="15621" width="34.375" customWidth="1"/>
    <col min="15622" max="15622" width="25.75" customWidth="1"/>
    <col min="15873" max="15873" width="11.75" customWidth="1"/>
    <col min="15874" max="15874" width="5.375" customWidth="1"/>
    <col min="15875" max="15875" width="9.75" customWidth="1"/>
    <col min="15876" max="15876" width="4.375" customWidth="1"/>
    <col min="15877" max="15877" width="34.375" customWidth="1"/>
    <col min="15878" max="15878" width="25.75" customWidth="1"/>
    <col min="16129" max="16129" width="11.75" customWidth="1"/>
    <col min="16130" max="16130" width="5.375" customWidth="1"/>
    <col min="16131" max="16131" width="9.75" customWidth="1"/>
    <col min="16132" max="16132" width="4.375" customWidth="1"/>
    <col min="16133" max="16133" width="34.375" customWidth="1"/>
    <col min="16134" max="16134" width="25.75" customWidth="1"/>
  </cols>
  <sheetData>
    <row r="1" spans="1:6" ht="21.95" customHeight="1" x14ac:dyDescent="0.2">
      <c r="A1" s="9"/>
      <c r="B1" s="9"/>
      <c r="C1" s="9"/>
      <c r="D1" s="9"/>
      <c r="E1" s="9"/>
      <c r="F1" s="54" t="s">
        <v>107</v>
      </c>
    </row>
    <row r="2" spans="1:6" ht="21.95" customHeight="1" x14ac:dyDescent="0.2">
      <c r="A2" s="9"/>
      <c r="B2" s="9"/>
      <c r="C2" s="9"/>
      <c r="D2" s="9"/>
      <c r="E2" s="9"/>
      <c r="F2" s="55"/>
    </row>
    <row r="3" spans="1:6" ht="21.95" customHeight="1" x14ac:dyDescent="0.2">
      <c r="A3" s="9"/>
      <c r="B3" s="9"/>
      <c r="C3" s="9"/>
      <c r="D3" s="9"/>
      <c r="F3" s="55"/>
    </row>
    <row r="4" spans="1:6" ht="21.95" customHeight="1" thickBot="1" x14ac:dyDescent="0.25">
      <c r="A4" s="9"/>
      <c r="B4" s="9"/>
      <c r="C4" s="9"/>
      <c r="D4" s="9"/>
      <c r="E4" s="9"/>
      <c r="F4" s="56"/>
    </row>
    <row r="5" spans="1:6" ht="21.95" customHeight="1" x14ac:dyDescent="0.2">
      <c r="A5" s="9"/>
      <c r="B5" s="9"/>
      <c r="C5" s="9"/>
      <c r="D5" s="9"/>
      <c r="E5" s="9"/>
      <c r="F5" s="9"/>
    </row>
    <row r="6" spans="1:6" ht="21.95" customHeight="1" x14ac:dyDescent="0.2">
      <c r="A6" s="57" t="s">
        <v>98</v>
      </c>
      <c r="B6" s="57"/>
      <c r="C6" s="57"/>
      <c r="D6" s="57"/>
      <c r="E6" s="57"/>
      <c r="F6" s="57"/>
    </row>
    <row r="7" spans="1:6" ht="21.95" customHeight="1" thickBot="1" x14ac:dyDescent="0.25">
      <c r="A7" s="58" t="s">
        <v>108</v>
      </c>
      <c r="B7" s="58"/>
      <c r="C7" s="58"/>
      <c r="D7" s="58"/>
      <c r="E7" s="58"/>
      <c r="F7" s="58"/>
    </row>
    <row r="8" spans="1:6" x14ac:dyDescent="0.2">
      <c r="A8" s="15"/>
      <c r="B8" s="16"/>
      <c r="C8" s="16"/>
      <c r="D8" s="16"/>
      <c r="E8" s="16"/>
      <c r="F8" s="17"/>
    </row>
    <row r="9" spans="1:6" x14ac:dyDescent="0.2">
      <c r="A9" s="18" t="s">
        <v>99</v>
      </c>
      <c r="B9" s="19" t="s">
        <v>100</v>
      </c>
      <c r="C9" s="19"/>
      <c r="D9" s="19"/>
      <c r="E9" s="19"/>
      <c r="F9" s="20" t="s">
        <v>101</v>
      </c>
    </row>
    <row r="10" spans="1:6" x14ac:dyDescent="0.2">
      <c r="A10" s="21" t="s">
        <v>109</v>
      </c>
      <c r="B10" s="22" t="s">
        <v>110</v>
      </c>
      <c r="C10" s="22"/>
      <c r="D10" s="23"/>
      <c r="E10" s="23"/>
      <c r="F10" s="24">
        <v>-12149.54</v>
      </c>
    </row>
    <row r="11" spans="1:6" x14ac:dyDescent="0.2">
      <c r="A11" s="21"/>
      <c r="B11" s="22"/>
      <c r="C11" s="25"/>
      <c r="D11" s="23"/>
      <c r="E11" s="23"/>
      <c r="F11" s="26"/>
    </row>
    <row r="12" spans="1:6" x14ac:dyDescent="0.2">
      <c r="A12" s="21"/>
      <c r="B12" s="22"/>
      <c r="C12" s="27"/>
      <c r="D12" s="23"/>
      <c r="E12" s="28"/>
      <c r="F12" s="26"/>
    </row>
    <row r="13" spans="1:6" x14ac:dyDescent="0.2">
      <c r="A13" s="21"/>
      <c r="B13" s="22"/>
      <c r="C13" s="29"/>
      <c r="D13" s="30"/>
      <c r="E13" s="29"/>
      <c r="F13" s="26"/>
    </row>
    <row r="14" spans="1:6" x14ac:dyDescent="0.2">
      <c r="A14" s="21"/>
      <c r="B14" s="22"/>
      <c r="C14" s="29"/>
      <c r="D14" s="30"/>
      <c r="E14" s="29"/>
      <c r="F14" s="26"/>
    </row>
    <row r="15" spans="1:6" x14ac:dyDescent="0.2">
      <c r="A15" s="21"/>
      <c r="B15" s="22"/>
      <c r="C15" s="31"/>
      <c r="D15" s="32"/>
      <c r="E15" s="29"/>
      <c r="F15" s="26"/>
    </row>
    <row r="16" spans="1:6" x14ac:dyDescent="0.2">
      <c r="A16" s="21"/>
      <c r="B16" s="22"/>
      <c r="C16" s="33"/>
      <c r="D16" s="30"/>
      <c r="E16" s="29"/>
      <c r="F16" s="26"/>
    </row>
    <row r="17" spans="1:6" x14ac:dyDescent="0.2">
      <c r="A17" s="34"/>
      <c r="B17" s="29"/>
      <c r="C17" s="23"/>
      <c r="D17" s="35"/>
      <c r="E17" s="23"/>
      <c r="F17" s="36"/>
    </row>
    <row r="18" spans="1:6" x14ac:dyDescent="0.2">
      <c r="A18" s="34"/>
      <c r="B18" s="29"/>
      <c r="C18" s="29"/>
      <c r="D18" s="30"/>
      <c r="E18" s="29"/>
      <c r="F18" s="37"/>
    </row>
    <row r="19" spans="1:6" x14ac:dyDescent="0.2">
      <c r="A19" s="34"/>
      <c r="B19" s="29"/>
      <c r="C19" s="29"/>
      <c r="D19" s="30"/>
      <c r="E19" s="29"/>
      <c r="F19" s="37"/>
    </row>
    <row r="20" spans="1:6" x14ac:dyDescent="0.2">
      <c r="A20" s="34"/>
      <c r="B20" s="29"/>
      <c r="C20" s="29"/>
      <c r="D20" s="30"/>
      <c r="E20" s="29"/>
      <c r="F20" s="38"/>
    </row>
    <row r="21" spans="1:6" ht="15" thickBot="1" x14ac:dyDescent="0.25">
      <c r="A21" s="34" t="s">
        <v>111</v>
      </c>
      <c r="B21" s="29"/>
      <c r="C21" s="30"/>
      <c r="D21" s="30"/>
      <c r="E21" s="29"/>
      <c r="F21" s="39">
        <f>SUM(F10:F20)</f>
        <v>-12149.54</v>
      </c>
    </row>
    <row r="22" spans="1:6" ht="15" thickTop="1" x14ac:dyDescent="0.2">
      <c r="A22" s="34"/>
      <c r="B22" s="29"/>
      <c r="C22" s="30"/>
      <c r="D22" s="30"/>
      <c r="E22" s="29"/>
      <c r="F22" s="38"/>
    </row>
    <row r="23" spans="1:6" x14ac:dyDescent="0.2">
      <c r="A23" s="34"/>
      <c r="B23" s="29"/>
      <c r="C23" s="30"/>
      <c r="D23" s="30"/>
      <c r="E23" s="29"/>
      <c r="F23" s="40"/>
    </row>
    <row r="24" spans="1:6" x14ac:dyDescent="0.2">
      <c r="A24" s="34"/>
      <c r="B24" s="29"/>
      <c r="C24" s="30"/>
      <c r="D24" s="30"/>
      <c r="E24" s="29"/>
      <c r="F24" s="40"/>
    </row>
    <row r="25" spans="1:6" x14ac:dyDescent="0.2">
      <c r="A25" s="34"/>
      <c r="B25" s="29"/>
      <c r="C25" s="30"/>
      <c r="D25" s="30"/>
      <c r="E25" s="29"/>
      <c r="F25" s="40"/>
    </row>
    <row r="26" spans="1:6" ht="15" thickBot="1" x14ac:dyDescent="0.25">
      <c r="A26" s="41"/>
      <c r="B26" s="42"/>
      <c r="C26" s="42"/>
      <c r="D26" s="43"/>
      <c r="E26" s="42"/>
      <c r="F26" s="44"/>
    </row>
    <row r="27" spans="1:6" x14ac:dyDescent="0.2">
      <c r="A27" s="45" t="s">
        <v>102</v>
      </c>
      <c r="B27" s="46"/>
      <c r="C27" s="46"/>
      <c r="D27" s="47"/>
      <c r="E27" s="45" t="s">
        <v>103</v>
      </c>
      <c r="F27" s="47" t="s">
        <v>104</v>
      </c>
    </row>
    <row r="28" spans="1:6" ht="15" thickBot="1" x14ac:dyDescent="0.25">
      <c r="A28" s="48"/>
      <c r="B28" s="8"/>
      <c r="C28" s="8"/>
      <c r="D28" s="49"/>
      <c r="E28" s="48"/>
      <c r="F28" s="49"/>
    </row>
    <row r="29" spans="1:6" x14ac:dyDescent="0.2">
      <c r="A29" s="48" t="s">
        <v>105</v>
      </c>
      <c r="B29" s="50"/>
      <c r="C29" s="8"/>
      <c r="D29" s="49"/>
      <c r="E29" s="48" t="s">
        <v>106</v>
      </c>
      <c r="F29" s="47" t="s">
        <v>104</v>
      </c>
    </row>
    <row r="30" spans="1:6" ht="15" thickBot="1" x14ac:dyDescent="0.25">
      <c r="A30" s="51"/>
      <c r="B30" s="52"/>
      <c r="C30" s="52"/>
      <c r="D30" s="53"/>
      <c r="E30" s="51"/>
      <c r="F30" s="53"/>
    </row>
  </sheetData>
  <mergeCells count="3">
    <mergeCell ref="F1:F4"/>
    <mergeCell ref="A6:F6"/>
    <mergeCell ref="A7:F7"/>
  </mergeCells>
  <pageMargins left="0.51181102362204722" right="0.51181102362204722" top="0.55118110236220474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แยกประเภท</vt:lpstr>
      <vt:lpstr>Sheet2</vt:lpstr>
      <vt:lpstr>สรุป</vt:lpstr>
      <vt:lpstr>หน้าปก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</dc:creator>
  <cp:lastModifiedBy>Sureepon Ratsameepen</cp:lastModifiedBy>
  <cp:lastPrinted>2025-02-12T11:41:41Z</cp:lastPrinted>
  <dcterms:created xsi:type="dcterms:W3CDTF">2025-02-12T09:44:43Z</dcterms:created>
  <dcterms:modified xsi:type="dcterms:W3CDTF">2026-03-23T09:21:28Z</dcterms:modified>
</cp:coreProperties>
</file>