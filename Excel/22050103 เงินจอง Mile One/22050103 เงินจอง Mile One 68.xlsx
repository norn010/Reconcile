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22050103 เงินจอง Mile One\"/>
    </mc:Choice>
  </mc:AlternateContent>
  <xr:revisionPtr revIDLastSave="0" documentId="13_ncr:1_{D2DFA131-B355-4ECA-9AA2-53961F26D711}" xr6:coauthVersionLast="47" xr6:coauthVersionMax="47" xr10:uidLastSave="{00000000-0000-0000-0000-000000000000}"/>
  <bookViews>
    <workbookView xWindow="28680" yWindow="-120" windowWidth="29040" windowHeight="15720" xr2:uid="{5ACF868B-A03D-4995-81DD-5085422D9B23}"/>
  </bookViews>
  <sheets>
    <sheet name="GL" sheetId="1" r:id="rId1"/>
    <sheet name="หายอด Privot" sheetId="4" r:id="rId2"/>
    <sheet name="22050103" sheetId="2" r:id="rId3"/>
    <sheet name="รายงาน" sheetId="3" r:id="rId4"/>
    <sheet name="สรุป" sheetId="7" r:id="rId5"/>
    <sheet name="ปก" sheetId="8" r:id="rId6"/>
  </sheets>
  <definedNames>
    <definedName name="_xlnm._FilterDatabase" localSheetId="2" hidden="1">'22050103'!$A$1:$G$441</definedName>
    <definedName name="_xlnm._FilterDatabase" localSheetId="3" hidden="1">รายงาน!$A$1:$J$439</definedName>
    <definedName name="_xlnm.Print_Titles" localSheetId="4">สรุป!$1:$5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8" l="1"/>
  <c r="E60" i="7" l="1"/>
  <c r="J52" i="3" l="1"/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D4" i="4"/>
  <c r="C4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2" i="3"/>
</calcChain>
</file>

<file path=xl/sharedStrings.xml><?xml version="1.0" encoding="utf-8"?>
<sst xmlns="http://schemas.openxmlformats.org/spreadsheetml/2006/main" count="4741" uniqueCount="610">
  <si>
    <t>บริษัท เอกสหเอมอเตอร์ จำกัด (สำนักงานใหญ่)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</si>
  <si>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</si>
  <si>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</si>
  <si>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</si>
  <si>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</si>
  <si>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04/03/2569</t>
  </si>
  <si>
    <t xml:space="preserve">เลขที่บัญชี  </t>
  </si>
  <si>
    <t xml:space="preserve"> ถึง  </t>
  </si>
  <si>
    <t xml:space="preserve"> 2205-01-03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</si>
  <si>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</si>
  <si>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</si>
  <si>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</si>
  <si>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</si>
  <si>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</si>
  <si>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</si>
  <si>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</si>
  <si>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</si>
  <si>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เงินจองรถยนต์-M one</t>
  </si>
  <si>
    <t>รับ</t>
  </si>
  <si>
    <t>RVVM6809-003</t>
  </si>
  <si>
    <t>ITR-25090028 นพธีรา คงสุวรรณ์</t>
  </si>
  <si>
    <t>RVVM6809-004</t>
  </si>
  <si>
    <t>ITR-25090032 ณัฐฐา อุดสาย</t>
  </si>
  <si>
    <t>RVEM6809-001</t>
  </si>
  <si>
    <t>ITR-25090012 บงกช ศรัทธาวรกุล</t>
  </si>
  <si>
    <t>RVVM6809-005</t>
  </si>
  <si>
    <t>ITR-25090035 เอนก ศรีชายวิวัฒนกุล</t>
  </si>
  <si>
    <t>RVVM6810-001</t>
  </si>
  <si>
    <t>ITR-25100001 มิตรชัย ประสิทธิ์</t>
  </si>
  <si>
    <t>RVVM6810-002</t>
  </si>
  <si>
    <t>ITR-25100006 อวานห์ หว่าง หวู๊</t>
  </si>
  <si>
    <t>ITR-25100007 บรรจง นิสภวาณิชย์</t>
  </si>
  <si>
    <t>ITR-25100008 กาญจน์ณัฎฐา กลิ่นสุคนธ์</t>
  </si>
  <si>
    <t>ITR-25100009 ปนิตา อินทรวงศ์</t>
  </si>
  <si>
    <t>RVEM6810-001</t>
  </si>
  <si>
    <t>ITR-25090013 จุฬา สังฆวัตร</t>
  </si>
  <si>
    <t>RVVM6810-003</t>
  </si>
  <si>
    <t>ITR-25100010 วาสนา หมอกเจริญ</t>
  </si>
  <si>
    <t>RVVM6810-004</t>
  </si>
  <si>
    <t>ITR-25100012 นันทรัตน์ ตุลยนิษก์</t>
  </si>
  <si>
    <t>ITR-25100014 บจ.สุขสมบูรณ์ 2022</t>
  </si>
  <si>
    <t>RVEM6810-002</t>
  </si>
  <si>
    <t>RVEM6810-003</t>
  </si>
  <si>
    <t>ITR-25090014 มิตรชัย ประสิทธิ์</t>
  </si>
  <si>
    <t>RVEM6810-004</t>
  </si>
  <si>
    <t>RVVM6810-006</t>
  </si>
  <si>
    <t>ITR-25100018 บจ.สุขสมบูรณ์ 2022</t>
  </si>
  <si>
    <t>ITR-25100019 เฉลิมเกียรติ อากาศสุภา</t>
  </si>
  <si>
    <t>ITR-25100020 อภิสิทธิ์ คำสี</t>
  </si>
  <si>
    <t>RVVM6810-007</t>
  </si>
  <si>
    <t>ITR-25100022 อิทธิพล น้อยเพชร</t>
  </si>
  <si>
    <t>RVEM6810-006</t>
  </si>
  <si>
    <t>RVVM6810-008</t>
  </si>
  <si>
    <t>ITR-25100023 ประยูร สัมฤทธิกุล</t>
  </si>
  <si>
    <t>ITR-25100025 วรายุกนิษฐ มณีอินทร์</t>
  </si>
  <si>
    <t>RVVM6810-009</t>
  </si>
  <si>
    <t>RVVM6810-010</t>
  </si>
  <si>
    <t>ITR-25100018 บจ.สุขสมบูรณ์2022</t>
  </si>
  <si>
    <t>RVVM6810-011</t>
  </si>
  <si>
    <t>ITR-25100030 MR.SIU YUEN POON</t>
  </si>
  <si>
    <t>จ่าย</t>
  </si>
  <si>
    <t>PV6810-009</t>
  </si>
  <si>
    <t>ITR-25100012/นันทรัตน์ ตุลยนิษก์</t>
  </si>
  <si>
    <t>ITR-25090028/นพธีรา คงสุวรรณ์</t>
  </si>
  <si>
    <t>ITR-25100006/อวานห์ หว่าง หวู๊</t>
  </si>
  <si>
    <t>RVEM6810-007</t>
  </si>
  <si>
    <t>RVVM6810-012</t>
  </si>
  <si>
    <t>ITR-25100032 บจ.โคตรคาร์ ทรานสปอร์ต</t>
  </si>
  <si>
    <t>RVVM6810-013</t>
  </si>
  <si>
    <t>ITR-25100033 บจ.โคตรคาร์ ทรานสปอร์ต</t>
  </si>
  <si>
    <t>ITR-25100034 กัญญาภรณ์ พุทธเจริญลาภ</t>
  </si>
  <si>
    <t>ITR-25100035 ธัญมน กิราสุข</t>
  </si>
  <si>
    <t>ITR-25100038 บจ.สยาม ทัทสึ ชัน ฟู้ด</t>
  </si>
  <si>
    <t>RVVM6810-014</t>
  </si>
  <si>
    <t>ITR-25100039 MR.SIU YUEN POON</t>
  </si>
  <si>
    <t>RVEM6810-011</t>
  </si>
  <si>
    <t>ITR-25100014 บจ.สุขสมบูรณ์2022</t>
  </si>
  <si>
    <t>RVVM6810-015</t>
  </si>
  <si>
    <t>ITR-25100040 กิตติวินท์ อัดตะนาท</t>
  </si>
  <si>
    <t>RVVM6811-001</t>
  </si>
  <si>
    <t>RTR-25110001 วิภาภัทร วิภาวสุ</t>
  </si>
  <si>
    <t>RTR-25110002 ปรเมษฐ์ วรเลิศโกศล</t>
  </si>
  <si>
    <t>RTR-25110003 บจ.โคตรคาร์ ทรานสปอร์ต</t>
  </si>
  <si>
    <t>RTR-25110004 ยงยุทธ มิตรแสงสุข</t>
  </si>
  <si>
    <t>RTR-25110005 สุภานี เงินคีรี</t>
  </si>
  <si>
    <t>RVVM6811-002</t>
  </si>
  <si>
    <t>ITR-25110009 นารีรัตน์ คำภิระปาวงศ์</t>
  </si>
  <si>
    <t>ITR-25110010 สุดารัตน์ เรืองศรี</t>
  </si>
  <si>
    <t>ITR-25110011 เรวัติ เชื้อแสง</t>
  </si>
  <si>
    <t>ITR-25110012 ธัญวลัย ต่างประภา</t>
  </si>
  <si>
    <t>ITR-25110014 ศรีนคร จันทะปัญญา</t>
  </si>
  <si>
    <t>RVVM6811-003</t>
  </si>
  <si>
    <t>ITR-25110016 สุดาทิพย์ ศรีสร้อย</t>
  </si>
  <si>
    <t>ITR-25110017 เรวัติ เชื้อแสง</t>
  </si>
  <si>
    <t>RVVM6811-004</t>
  </si>
  <si>
    <t>ฌTR-25110006 บจ.โคตรคาร์ ทรานสปอร์ต</t>
  </si>
  <si>
    <t>RVVM6811-005</t>
  </si>
  <si>
    <t>ฌTR-25110007 รสสุคนธ์ อัตตวิโรจนานนท์</t>
  </si>
  <si>
    <t>RVVM6811-006</t>
  </si>
  <si>
    <t>ฌTR-25110008 ณภัสญาณ์ เลิศวรรธน์กุล</t>
  </si>
  <si>
    <t>RVVM6811-007</t>
  </si>
  <si>
    <t>ฌTR-25110009 ประภาพร ทิพย์โอสถ</t>
  </si>
  <si>
    <t>ฌTR-25110010 พรหมนิพิฐ เหมือนรอดดี</t>
  </si>
  <si>
    <t>ฌTR-25110011 สุกฤษฎิ์ การชาตรี</t>
  </si>
  <si>
    <t>ฌTR-25110012 จิตตาภา ขุนทอง</t>
  </si>
  <si>
    <t>ฌTR-25110013 ชัชวาล ตระการประไพ</t>
  </si>
  <si>
    <t>RVVM6811-008</t>
  </si>
  <si>
    <t>ฌTR-25110014 บจ.โคตรคาร์ ทรานสปอร์ต</t>
  </si>
  <si>
    <t>RVVM6811-009</t>
  </si>
  <si>
    <t>RVVM6811-010</t>
  </si>
  <si>
    <t>ฌTR-25110015 ศราวุธ โซะเฮง</t>
  </si>
  <si>
    <t>ฌTR-25110016 วิรุฬห์ มูซอ</t>
  </si>
  <si>
    <t>ฌTR-25110017 ศุภกร เจนกุลเจริญ</t>
  </si>
  <si>
    <t>ฌTR-25110018 กรกช อภิวงค์</t>
  </si>
  <si>
    <t>ฌTR-25110019 ณภัสญาณ์ เลิศวรรธน์กุล</t>
  </si>
  <si>
    <t>RVVM6811-011</t>
  </si>
  <si>
    <t>ฌTR-25110020 ไอลดา ไชยศรี</t>
  </si>
  <si>
    <t>ฌTR-25110021 ศรีนคร จันทะปัญญา</t>
  </si>
  <si>
    <t>ฌTR-25110022 พันธุ์รวี บุนนาค</t>
  </si>
  <si>
    <t>RVVM6811-012</t>
  </si>
  <si>
    <t>ฌTR-25110023 อัครวัฒน์ เดชานันท์เสถียร</t>
  </si>
  <si>
    <t>ฌTR-25110024 นัยน์ปพร จันดี</t>
  </si>
  <si>
    <t>RVVM6811-013</t>
  </si>
  <si>
    <t>ฌTR-25110025 อินทิรา เฉลิมวงศ์</t>
  </si>
  <si>
    <t>RVVM6811-014</t>
  </si>
  <si>
    <t>ฌTR-25110026 สมปรารถนา คล้ายวิเชียร</t>
  </si>
  <si>
    <t>RVVM6811-016</t>
  </si>
  <si>
    <t>ฌTR-25110027 การันต์ บริรักษ์สัมพันธ์</t>
  </si>
  <si>
    <t>RVVM6811-017</t>
  </si>
  <si>
    <t>ฌTR-25110028 นพรัตน์ ศักดิ์ศิริ</t>
  </si>
  <si>
    <t>ฌTR-25110029 ปุณยนุช ธรรมศิริ</t>
  </si>
  <si>
    <t>ฌTR-25110030 ชุมาพร นนท์ปฏิมากุล</t>
  </si>
  <si>
    <t>ฌTR-25110031 กฤษณะ บุญศรี</t>
  </si>
  <si>
    <t>RVEM6811-011</t>
  </si>
  <si>
    <t>RVVM6811-018</t>
  </si>
  <si>
    <t>RVVM6811-019</t>
  </si>
  <si>
    <t>ฌTR-25110032 สุภาธินี อินทโสภา</t>
  </si>
  <si>
    <t>PV6811-012</t>
  </si>
  <si>
    <t>ITR-25110010/สุดารัตน์ เรืองศรี</t>
  </si>
  <si>
    <t>ITR-25100038/บจก.สยาม ทัทสึ ชัน ฟู้ด</t>
  </si>
  <si>
    <t>RVVM6811-020</t>
  </si>
  <si>
    <t>ฌTR-25110033 ธนกฤต ฤทธิ์ภักดีกุล</t>
  </si>
  <si>
    <t>RVVM6811-021</t>
  </si>
  <si>
    <t>ฌTR-25110034 สุดนารี แซ่ลี้</t>
  </si>
  <si>
    <t>ฌTR-25110035 กอบวิทย์ พิริยะวัฒน์</t>
  </si>
  <si>
    <t>ฌTR-25110036 พงศ์ภัค ตามแนวธรรม</t>
  </si>
  <si>
    <t>RVVM6812-001</t>
  </si>
  <si>
    <t>จิตตาภา ขุนทอง</t>
  </si>
  <si>
    <t>ธนกฤต  ฤทธิ์ภักดีกุล</t>
  </si>
  <si>
    <t>คุณณภัสญาณ์  เลิศวรรธน์กุล</t>
  </si>
  <si>
    <t>RVVM6812-002</t>
  </si>
  <si>
    <t>ฌTB-25120001 จิราภา โหมดวิจิตร</t>
  </si>
  <si>
    <t>ฌTB-25120008 อินทิรา  เฉลิมวงศ์</t>
  </si>
  <si>
    <t>RVVM6812-003</t>
  </si>
  <si>
    <t>TR-25120003 จินต์จุฑา อเนกสิทธิสิน</t>
  </si>
  <si>
    <t>TR-25120004 อมาวศรี ยิ่งธนพิบูลย์</t>
  </si>
  <si>
    <t>TR-25120005 อาภรณ์ อิสมาแอล</t>
  </si>
  <si>
    <t>TR-25120006 วรศักดิ์ หวานสนิท</t>
  </si>
  <si>
    <t>RVVM6812-004</t>
  </si>
  <si>
    <t>ฌTR-25120007 ธนนดา  พันธุ์ธนวิบูลย์</t>
  </si>
  <si>
    <t>ฌTR-25120008 รุ่งธรรม  เหลืองรุ่งวสันต์</t>
  </si>
  <si>
    <t>ฌTR-25120009 ยลดา  อาหรับ</t>
  </si>
  <si>
    <t>ฌTB-25120010 พรธัญภัทร  พูลธัญกิจ</t>
  </si>
  <si>
    <t>ฌTB-25120021 วิรุฬห์  มูซอ</t>
  </si>
  <si>
    <t>อินทิรา  เฉลิมวงศ์</t>
  </si>
  <si>
    <t>RVVM6812-005</t>
  </si>
  <si>
    <t>ฌTR-25120011 คุณศุภกานต์  หลำนุ้ย</t>
  </si>
  <si>
    <t>ฌTR-25120012 คุณณัฏฐา  ณ บางช้าง</t>
  </si>
  <si>
    <t>RVVM6812-006</t>
  </si>
  <si>
    <t>ฌTR-25110034 คุณสุดนารี  แซ่ลี้</t>
  </si>
  <si>
    <t>ฌTR-25120013 คุณลับผล  นิระปะกะ</t>
  </si>
  <si>
    <t>ฌTR-25120014 คุณนารีรัตน์  คำภิระปาวงศ์</t>
  </si>
  <si>
    <t>ฌTR-25120015 คุณสิริลภา  ปรางประสิทธิ์</t>
  </si>
  <si>
    <t>RVVM6812-007</t>
  </si>
  <si>
    <t>ฌTR-25120016 คุณณัฐวุฒิ  ทาตุ๊</t>
  </si>
  <si>
    <t>ฌTR-25120017 คุณธรรมธร  เกตุแก้ว</t>
  </si>
  <si>
    <t>RVEM6812-005</t>
  </si>
  <si>
    <t>RVVM6812-008</t>
  </si>
  <si>
    <t>ฌTR-25120018 คุณกษิรา  บุญอินทร์</t>
  </si>
  <si>
    <t>ฌTR-25120019 คุณปาณิศรา  ธนะชัยธิรดา</t>
  </si>
  <si>
    <t>ฌTR-25120020 คุณธีรวุฒิ  นิลเหลือง</t>
  </si>
  <si>
    <t>ฌTR-25120021 คุณกชกร  วัชราไทย</t>
  </si>
  <si>
    <t>ฌTR-25120022 คุณสิโรตม์  สิริวรนันท์</t>
  </si>
  <si>
    <t>RVVM6812-009</t>
  </si>
  <si>
    <t>ฌTR-25120012 คุณบุษกร  แป้นขาว</t>
  </si>
  <si>
    <t xml:space="preserve"> ITR-25100010 คุณวาสนา  หมอกเจริญ</t>
  </si>
  <si>
    <t>ITP-25120022 คุณสุดาทิพย์  ศรีสร้อย</t>
  </si>
  <si>
    <t>RVVM6812-010</t>
  </si>
  <si>
    <t>ฌTR-25120024 คุณจิรานุวัฒน์  ดอกไม้</t>
  </si>
  <si>
    <t>ฌTR-25120025 คุณนามกร  ธรรมสาโร</t>
  </si>
  <si>
    <t>ฌTR-25120026 คุณวันชัย  อนุชาด</t>
  </si>
  <si>
    <t>ฌTR-25120027 คุณพงศ์ภัค  ตามแนวธรรม</t>
  </si>
  <si>
    <t>RVVM6812-011</t>
  </si>
  <si>
    <t>ฌTR-25120028 คุณสิโรตม์  สิริวรนันท์</t>
  </si>
  <si>
    <t>ฌTR-25120029 คุณสุมณฑา  พรมวงค์</t>
  </si>
  <si>
    <t>ฌTR-25120030 คุณรัตนา  พรหมบุตร</t>
  </si>
  <si>
    <t>ฌTR-25120031 คุณสุกิจ  ฐานนำเกียรติ</t>
  </si>
  <si>
    <t>ฌTR-25120032 คุณนาฏนภา  เป้าปราณี</t>
  </si>
  <si>
    <t>ฌTR-25120033 คุณสายสมร  ศิริทรัพย์</t>
  </si>
  <si>
    <t>ฌTR-25120034 คุณสมประสงค์  เชิดชู</t>
  </si>
  <si>
    <t>RVVM6812-012</t>
  </si>
  <si>
    <t>ฌTR-25120010 คุณนาฏนภา  เป้าปราณี</t>
  </si>
  <si>
    <t>ฌTR-25120086 ศศมน  พุทธสอน</t>
  </si>
  <si>
    <t>RVVM6812-013</t>
  </si>
  <si>
    <t>ฌTR-25120036 คุณชุติมา  บุญสูง</t>
  </si>
  <si>
    <t>ฌTR-25120037 คุณศศินันท์  คิรินทร์รัตนะ</t>
  </si>
  <si>
    <t>ฌTR-25120038 คุณนิวัฒน์  จีรวงศ์สุนทร</t>
  </si>
  <si>
    <t>ฌTR-25120039 คุณสิริรัตน์  ตรงต่อศักดิ์</t>
  </si>
  <si>
    <t>ฌTR-25120040 คุณนิธิรุจน์  พรธัญประสิทธิ์</t>
  </si>
  <si>
    <t>ฌTR-25120039 คุณสมประสงค์  เชิดชู</t>
  </si>
  <si>
    <t>RVEM6812-012</t>
  </si>
  <si>
    <t>RVEM6812-014</t>
  </si>
  <si>
    <t>RVEM6812-015</t>
  </si>
  <si>
    <t>ฌTR-25120020 ธีรวุฒิ นิลเหลือง</t>
  </si>
  <si>
    <t>RVVM6812-014</t>
  </si>
  <si>
    <t>ฌTR-25120041 คุณวันชัย  อนุชาด</t>
  </si>
  <si>
    <t>ฌTR-25120042 คุณมณฑป  โรจนวิสุทธิ์</t>
  </si>
  <si>
    <t>ฌTR-25120043 คุณอาทิตยา  ภัทรบุญภักดิ์</t>
  </si>
  <si>
    <t>ฌTR-25120044 คุณคมกฤษณ์  วังตระกูล</t>
  </si>
  <si>
    <t>ฌTR-25120045 คุณปรเมศวร์  เอี่ยมเต็ง</t>
  </si>
  <si>
    <t>RVVM6812-015</t>
  </si>
  <si>
    <t>ฌTR-25120046 คุณสุกัลย์  เหลืองพรนุวัฒน์</t>
  </si>
  <si>
    <t>ฌTR-25120047 คุณอนาคิน  ธนรุ่งปัญญาสิทธิ์</t>
  </si>
  <si>
    <t>ฌTR-25120012 คุณวันชัย  อนุชาด</t>
  </si>
  <si>
    <t>ฌTR-25120013 คุณศศินันท์  คิรินทร์รัตนะ</t>
  </si>
  <si>
    <t>RVEM6812-018</t>
  </si>
  <si>
    <t>ฌTR-25120038 นิวัฒน์ จีรวงศ์สุนทร (ไม่มี Vat)</t>
  </si>
  <si>
    <t>RVEM6812-019</t>
  </si>
  <si>
    <t>ฌTR-25120009 ยลดา อาหรับ</t>
  </si>
  <si>
    <t>RVVM6812-016</t>
  </si>
  <si>
    <t>ฌTR-25120048 คุณนิรัตน์  สุวรรณวิชัย</t>
  </si>
  <si>
    <t>ฌTR-25120016 คุณธรรมธร  เกตุแก้ว</t>
  </si>
  <si>
    <t>ฌTR-25120015 คุณณัฐพร  แปงวัน</t>
  </si>
  <si>
    <t>ฌTR-25120014 คุณณัฐพร  แปงวัน</t>
  </si>
  <si>
    <t>RVEM6812-020</t>
  </si>
  <si>
    <t>ฌTR-25120050 กัญญา อินทะมา (ไม่มี Vat)</t>
  </si>
  <si>
    <t>RVEM6812-021</t>
  </si>
  <si>
    <t>ฌTR-25120052 นวกชมณ บุญรอดรักษุ์ (ไม่มี Vat)</t>
  </si>
  <si>
    <t>RVEM6812-022</t>
  </si>
  <si>
    <t>RVEM6812-023</t>
  </si>
  <si>
    <t>ฌTR-25120036 ชุติมา บุญสูง</t>
  </si>
  <si>
    <t>RVEM6812-024</t>
  </si>
  <si>
    <t>ฌTR-25120002 อินทิรา เฉลิมวงศ์</t>
  </si>
  <si>
    <t>RVEM6812-025</t>
  </si>
  <si>
    <t>ฌTR-25120011 ศุภกานต์ หลำนุ้ย</t>
  </si>
  <si>
    <t>RVVM6812-017</t>
  </si>
  <si>
    <t>ฌTR-25120049 คุณทรงวุฒิ  พรมโต</t>
  </si>
  <si>
    <t>ฌTR-25120050 คุณกัญญา  อินทะมา</t>
  </si>
  <si>
    <t>ฌTR-25120051 คุณณัฐพงษ์  กองชัยมงคล</t>
  </si>
  <si>
    <t>ฌTR-25120052 คุณนวกชมณ  บุญรอดรักษุ์</t>
  </si>
  <si>
    <t>ฌTR-25120053 คุณศศิกา  คูเจริญศิลป์</t>
  </si>
  <si>
    <t>ฌTR-25120054 คุณสุรีย์พร  จอมประเสริฐกุล</t>
  </si>
  <si>
    <t>ฌTR-25120055 คุณสิริกร  กรกิตติกุลภักดี</t>
  </si>
  <si>
    <t>ฌTR-25120056 คุณวิญญู  หนูเรขา</t>
  </si>
  <si>
    <t>ฌTR-25120058 คุณรินทร์ลภัส  ปิจดี</t>
  </si>
  <si>
    <t>ฌTR-25120057 คุณจันทร  สังข์สุวรรณ</t>
  </si>
  <si>
    <t>PV6812-005</t>
  </si>
  <si>
    <t>ปรเมษฐ์ วรเลิศโกศล/RTR-25110002</t>
  </si>
  <si>
    <t>สุภานี เงินคีรี/RTR-25110005</t>
  </si>
  <si>
    <t>วิภาภัทร วิภาวสุ/RTR-25110001</t>
  </si>
  <si>
    <t>กิตติวินท์ อัตตะนาท/ITR-25100040</t>
  </si>
  <si>
    <t>นารีรัตน์ คำภีระปาวงศ์/ITR-25110009</t>
  </si>
  <si>
    <t>อิทธิพล น้อยเพชร/ITR-25100022</t>
  </si>
  <si>
    <t>สมปรารถนา คล้ายวิเชียร/ฌTR-25110026</t>
  </si>
  <si>
    <t>กรกช อภิวงศ์/ฌTR-25110018</t>
  </si>
  <si>
    <t>ประภาพร ทิพย์โอสภ/ฌTR-25110009</t>
  </si>
  <si>
    <t>ศราวุธ โซะเฮง/ฌTR-25110015</t>
  </si>
  <si>
    <t>สุกฤษฎิ์ การชาตรี/ฌTR-25110011</t>
  </si>
  <si>
    <t>ยงยุทธ มิตรแสงสุข/ฌTR-25110004</t>
  </si>
  <si>
    <t>RVVM6812-018</t>
  </si>
  <si>
    <t>ฌTR-25120059 คุณพิทยารัตน์  มูลจันดา</t>
  </si>
  <si>
    <t>ฌTR-25120060 คุณวีราภรณ์  สีตะสิทธิ์</t>
  </si>
  <si>
    <t>ฌTR-25120061 คุณกนกวรรณ  หาญณรงค์</t>
  </si>
  <si>
    <t>ฌTR-25120062 คุณปิยชาติ  กิจธร</t>
  </si>
  <si>
    <t>ฌTR-25120063 คุณวรัสชญาน์  ไพศาลกนกวัชร์</t>
  </si>
  <si>
    <t>ฌTR-25120064 คุณนิธินาฏ  ชินะนาวิน</t>
  </si>
  <si>
    <t>ฌTR-25120065 คุณพงษ์ชัย  เตียวรัตนกุล</t>
  </si>
  <si>
    <t>ฌTR-25120066 คุณพวงเพชร  ศรีสุพล</t>
  </si>
  <si>
    <t>RVEM6812-027</t>
  </si>
  <si>
    <t>ฌTR-25120068 ภควัต ส่งคุณฤทธิการ</t>
  </si>
  <si>
    <t>RVEM6812-029</t>
  </si>
  <si>
    <t>ฌTR-25120042 มณฑป โรจนวิสุทธิ์</t>
  </si>
  <si>
    <t>RVEM6812-030</t>
  </si>
  <si>
    <t>ฌTR-25120048 นิรัตน์ สุวรรณวิชัย</t>
  </si>
  <si>
    <t>RVEM6812-031</t>
  </si>
  <si>
    <t>ฌTR-25120045 ปรเมศวร์ เอี่ยมเต็ง</t>
  </si>
  <si>
    <t>RVEM6812-032</t>
  </si>
  <si>
    <t>ฌTR-25120018 กษิรา บุญอินทร์</t>
  </si>
  <si>
    <t>RVVM6812-019</t>
  </si>
  <si>
    <t>ฌTR-25120067 คุณชุมาพร  นนท์ปฎิมากุล</t>
  </si>
  <si>
    <t>ฌTR-25120068 คุณภควัต  ส่งคุณฤทธิการ</t>
  </si>
  <si>
    <t>ฌTR-25120026 คุณพิทยารัตน์  มูลจันดา</t>
  </si>
  <si>
    <t>RVEM6812-034</t>
  </si>
  <si>
    <t>ฌTR-25120023 บุษกร แป้นขาว</t>
  </si>
  <si>
    <t>RVVM6812-020</t>
  </si>
  <si>
    <t>ฌTR-25120069 คุณจริยา  พิมละมาด</t>
  </si>
  <si>
    <t>ฌTR-25120070 คุณสมปรารถนา  คล้ายวิเชียร</t>
  </si>
  <si>
    <t>ITB-25110018 คุณธัญวลัย  ต่างประภา</t>
  </si>
  <si>
    <t>RVEM6812-036</t>
  </si>
  <si>
    <t>ฌTR-25120019 ปาณิศรา ธนะชัยธิรดา</t>
  </si>
  <si>
    <t>RVEM6812-037</t>
  </si>
  <si>
    <t>ฌTR-25120043 อาทิตยา ภัทรบุญภักดิ์</t>
  </si>
  <si>
    <t>RVEM6812-038</t>
  </si>
  <si>
    <t>ฌTR-25120008 รุ่งธรรม เหลืองรุ่งวสันต์</t>
  </si>
  <si>
    <t>RVVM6812-021</t>
  </si>
  <si>
    <t>ฌTR-25120071 คุณภาคิณ  ประเสริฐจิต</t>
  </si>
  <si>
    <t>ฌTR-25120072 คุณจิดาภา  อริยพฤกษ์</t>
  </si>
  <si>
    <t>ฌTR-25120073 คุณณัฐพล  จรัสสุขสวัสดิ์</t>
  </si>
  <si>
    <t>ฌTR-25120074 คุณนันท์นภัส  สาโรวาท</t>
  </si>
  <si>
    <t>ฌTR-25120275 คุณศุภัสวิชญ์  เชื้อไตรสรณ์</t>
  </si>
  <si>
    <t>ฌTR-25120276 คุณวชิรญาณ์  ศรีแก้วเฒ่า</t>
  </si>
  <si>
    <t>ฌTR-25120077 คุณอัษฏางค์  ชวนะเกาศัลย์</t>
  </si>
  <si>
    <t>ฌTR-25120078 คุณวันชัย  แสงอมรสกุล</t>
  </si>
  <si>
    <t>ฌTR-25120079 คุณไชยา  เริงเกษตรกรณ์</t>
  </si>
  <si>
    <t>ฌTR-25120080 คุณจิรวรรณ   เสนาดี</t>
  </si>
  <si>
    <t>ฌTR-25120081 คุณพิทยาภรณ์  ตั้งศิริไพบูลย์</t>
  </si>
  <si>
    <t>ฌTR-25120082 คุณกนกอร  บุญเพ็ง</t>
  </si>
  <si>
    <t>ฌTR-25120083 บริษัทอินเตอร์ ชัยพัฒนาพลาสติค  จำกัด</t>
  </si>
  <si>
    <t>ฌTR-25120084 คุณวรัชญ์  กล้าแข็ง</t>
  </si>
  <si>
    <t>ฌTR-25110030 คุณชุมาพร  นนท์ปฎิมากุล</t>
  </si>
  <si>
    <t>RVVM6812-022</t>
  </si>
  <si>
    <t>ฌTR-25120028 คุณณัฐพล  จรัสสุขสวัสดิ์</t>
  </si>
  <si>
    <t>ฌTR-25120029 คุณจิราภา  โหมดวิจิตร</t>
  </si>
  <si>
    <t>ฌTR-25120030 คุณสมปรารถนา  คล้ายวิเชียร</t>
  </si>
  <si>
    <t>ฌTR-25120085 คุณธีระพงษ์  ตันสิทธิพันธ์</t>
  </si>
  <si>
    <t>ฌTR-25120086 คุณนวลอนงค์  เตชะรุจิเศรษฐ</t>
  </si>
  <si>
    <t>ฌTR-25120087 คุณนัฐพงษ์  พลประถม</t>
  </si>
  <si>
    <t>ฌTR-25120088 คุณอภิชาติ  ทองคำชุม</t>
  </si>
  <si>
    <t>ฌTR-25120089 คุณสุชญา  เกไทสง</t>
  </si>
  <si>
    <t>ฌTR-25120090 คุณชุติมณฑน์   สีหนาท</t>
  </si>
  <si>
    <t>ฌTR-25120091 คุณอภิวัฒน์  ติดใจดี</t>
  </si>
  <si>
    <t>ฌTR-25120092 บริษัทเฟิร์ส เอ็นจิเนียริ่ง แอนด์ โซล</t>
  </si>
  <si>
    <t>RVEM6812-039</t>
  </si>
  <si>
    <t>ฌTR-25120046 สุกัลย์ เหลืองพรนุวัฒน์</t>
  </si>
  <si>
    <t>RVEM6812-040</t>
  </si>
  <si>
    <t>ฌTR-25120047 อนาคิน ธนรุ่งปัญญาสิทธิ์</t>
  </si>
  <si>
    <t>RVVM6812-023</t>
  </si>
  <si>
    <t>ฌTR-25120080 คุณจริยา  พิมละมาด</t>
  </si>
  <si>
    <t>ฌTR-25120093 คุณธัญญ์รวี  แสงหิรัญเดชาฉัตร์</t>
  </si>
  <si>
    <t>ฌTR-25120094 คุณสุรจิต  เมธีวิทยา</t>
  </si>
  <si>
    <t>ฌTR-25120095 คุณชัยชาญ  นวลศรี</t>
  </si>
  <si>
    <t>ฌTR-25120095 คุณศิริชัย  กาญจโนภาส</t>
  </si>
  <si>
    <t>RVVM6812-024</t>
  </si>
  <si>
    <t>ฌTR-25120097 คุณศิโรรัตน์  สัจจะวัฒนวิมล</t>
  </si>
  <si>
    <t>ฌTR-25120098  คุณชาติชาย  วรพิพัฒน์</t>
  </si>
  <si>
    <t>RVEM6812-043</t>
  </si>
  <si>
    <t>ฌTR-25120035 ศศมน พุทธสอน</t>
  </si>
  <si>
    <t>RVEM6812-045</t>
  </si>
  <si>
    <t>ฌTR-25120007 ธนนดา พันธุ์ธนวิบูลย์</t>
  </si>
  <si>
    <t>RVEM6812-046</t>
  </si>
  <si>
    <t>ฌTR-25120026 วันชัย อนุชาด</t>
  </si>
  <si>
    <t>RVEM6812-048</t>
  </si>
  <si>
    <t>ฌTR-25120057 จันทร สังข์สุวรรณ</t>
  </si>
  <si>
    <t>RVEM6812-049</t>
  </si>
  <si>
    <t>RVEM6812-051</t>
  </si>
  <si>
    <t>ฌTR-25120074 นันท์นภัส สาโรวาท</t>
  </si>
  <si>
    <t>RVEM6812-052</t>
  </si>
  <si>
    <t>ฌTR-25120044 คมกฤษณ์ วังตระกูล</t>
  </si>
  <si>
    <t>RVEM6812-053</t>
  </si>
  <si>
    <t>ฌTR-25120071 ภาคิณ ประเสริฐจิต</t>
  </si>
  <si>
    <t>RVEM6812-057</t>
  </si>
  <si>
    <t>ฌTR-25120051 ณัฐพงษ์ กองชัยมงคล</t>
  </si>
  <si>
    <t>RVVM6812-026</t>
  </si>
  <si>
    <t>ฌTR-25120032 คุณทรงวุฒิ  พรมโท</t>
  </si>
  <si>
    <t>ฌTR-25120033 คุณพงษ์ชัย  เตียวรัตนกุล</t>
  </si>
  <si>
    <t>RVVM6812-028</t>
  </si>
  <si>
    <t>ฌTR-25120094 สุรจิต เมธีวิทยา</t>
  </si>
  <si>
    <t>ฌTR-25120014 นารีรัตน์ คำภิระปาวงศ์</t>
  </si>
  <si>
    <t>ฌTR-25120058 รินทร์ลภัส ปิจดี</t>
  </si>
  <si>
    <t>ฌTR-25120085 ธีระพงษ์ ตันสิทธิพันธ์</t>
  </si>
  <si>
    <t>ฌTR-25120072 จิดาภา อริยพฤกษ์</t>
  </si>
  <si>
    <t>ขาย</t>
  </si>
  <si>
    <t>SVAM6812-001</t>
  </si>
  <si>
    <t>คุณวาสนา  หมอกเจริญ</t>
  </si>
  <si>
    <t>คุณธัญวลัย  ต่างประภา</t>
  </si>
  <si>
    <t>SVVM6812-007</t>
  </si>
  <si>
    <t>คุณจิราภา  โหมดวิจิตร</t>
  </si>
  <si>
    <t>คุณอินทิรา  เฉลิมวงศ์</t>
  </si>
  <si>
    <t>คุณจินต์จุฑา  อเนกสิทธิสิน</t>
  </si>
  <si>
    <t>คุณอมาวศรี  ยิ่งธนพิบูลย์</t>
  </si>
  <si>
    <t>คุณอาภรณ์  อิสมาแอล</t>
  </si>
  <si>
    <t>คุณวรศักดิ์  หวานสนิท</t>
  </si>
  <si>
    <t>คุณธนนดา  พันธุ์ธนวิบูลย์</t>
  </si>
  <si>
    <t>คุณรุ่งธรรม   เหลืองรุ่งวสันต์</t>
  </si>
  <si>
    <t>คุณยลดา   อาหรับ</t>
  </si>
  <si>
    <t>คุณพรธัญภัทร  พูลธัญกิจ</t>
  </si>
  <si>
    <t>คุณศุภกานต์  หลำนุ้ย</t>
  </si>
  <si>
    <t>คุณณัฏฐา  ณ บางช้าง</t>
  </si>
  <si>
    <t>คุณลับผล  นิริะปะกะ</t>
  </si>
  <si>
    <t>คุณนารีรัตน์  คำภิระปาวงศ์</t>
  </si>
  <si>
    <t>คุณสิริลภา  ปรางประสิทธิ์</t>
  </si>
  <si>
    <t>คุณณัฐวุฒิ  ทาตุ๊</t>
  </si>
  <si>
    <t>คุณธรรมธร  เกตุแก้ว</t>
  </si>
  <si>
    <t>คุณกษิรา  บุญอินทร์</t>
  </si>
  <si>
    <t>คุณปาณิศรา  ธนะชัยธิรดา</t>
  </si>
  <si>
    <t>คุณธีรวุฒิ  นิลเหลือง</t>
  </si>
  <si>
    <t>คุณกรกช  วัชราไทย</t>
  </si>
  <si>
    <t>คุณสิโรตม์  สิริวรนันท์</t>
  </si>
  <si>
    <t>คุณบุษกร  แป้นขาว</t>
  </si>
  <si>
    <t>คุณจิรานุวัฒน์  ดอกไม้</t>
  </si>
  <si>
    <t>คุณนามกร  ธรรมสาโร</t>
  </si>
  <si>
    <t>คุณวันชัย  อนุชาด</t>
  </si>
  <si>
    <t>คุณพงศ์ภัค  ตามแนวธรรม</t>
  </si>
  <si>
    <t>คุณสุมณฑา  พรมวงค์</t>
  </si>
  <si>
    <t>คุณรัตนา  พรหมบุตร</t>
  </si>
  <si>
    <t>คุณสุกิจ  ฐานนำเกียรติ</t>
  </si>
  <si>
    <t>คุณนาฏนภา  เป้าปราณี</t>
  </si>
  <si>
    <t>คุณสายสมร  ศิริทรัพย์</t>
  </si>
  <si>
    <t>คุณสมประสงค์   เชิดชู</t>
  </si>
  <si>
    <t>คุณศศมน  พุทธสอน</t>
  </si>
  <si>
    <t>คุณชุติมา  บุญสูง</t>
  </si>
  <si>
    <t>คุณศศินันท์  คิรินทร์รัตนะ</t>
  </si>
  <si>
    <t>คุณนิวัฒน์   จีรวงศ์สุนทร</t>
  </si>
  <si>
    <t>คุณสิริรัตน์  ตรงต่อศักดิ์</t>
  </si>
  <si>
    <t>คุณนิธิรุจน์  พรธัญประสิทธิ์</t>
  </si>
  <si>
    <t>คุณมณฑป  โรจนวิสุทธิ์</t>
  </si>
  <si>
    <t>คุณอาทิตยา  ภัทรบุญภักดิ์</t>
  </si>
  <si>
    <t>คุณคมกฤษณ์  วังตระกูล</t>
  </si>
  <si>
    <t>คุณปรเมศวร์  เอี่ยมเต็ง</t>
  </si>
  <si>
    <t>คุณสุกัลย์  เหลืองพรนุวัฒน์</t>
  </si>
  <si>
    <t>คุณอนาคิน  ธนรุ่งปัญญาสิทธิ์</t>
  </si>
  <si>
    <t>คุณนิรัตน์  สุวรรณวิชัย</t>
  </si>
  <si>
    <t>คุณทรงวุฒิ  พรมโต</t>
  </si>
  <si>
    <t>คุณกัญญา  อินทะมา</t>
  </si>
  <si>
    <t>คุณณัฐพงษ์  กองชัยมงคล</t>
  </si>
  <si>
    <t>คุณนวกชมณ  บุญรอดรักษุ์</t>
  </si>
  <si>
    <t>คุณศศิกา  คูเจริญศิลป์</t>
  </si>
  <si>
    <t>คุณสุรีย์พร  จอมประเสริฐกุล</t>
  </si>
  <si>
    <t>คุณกนกวรรณ  หาญณรงค์</t>
  </si>
  <si>
    <t>คุณปิยชาติ  กิจธร</t>
  </si>
  <si>
    <t>คุณวรัสชญาน์   ไพศาลกนกวัชร์</t>
  </si>
  <si>
    <t>คุณนิธินาฏ   ชินะนาวิน</t>
  </si>
  <si>
    <t>คุณพงษ์ชัย   เดียวรัตนกุล</t>
  </si>
  <si>
    <t>คุณพวงเพชร   ศรีสุพล</t>
  </si>
  <si>
    <t>คุณชุมาพร  นนท์ปฎิมากุล</t>
  </si>
  <si>
    <t>คุณภควัต   ส่งคุณฤทธิการ</t>
  </si>
  <si>
    <t>คุณจริยา  พิมละมาด</t>
  </si>
  <si>
    <t>คุณสมปรารถนา  คล้ายวิเชียร</t>
  </si>
  <si>
    <t>คุณภาคิณ  ประเสริฐจิต</t>
  </si>
  <si>
    <t>คุณจิดาภา  อริยพฤกษ์</t>
  </si>
  <si>
    <t>คุณณัฐพล  จรัสสุขสวัสดิ์</t>
  </si>
  <si>
    <t>คุณนันท์นภัส   สาโรวาท</t>
  </si>
  <si>
    <t>คุณศุภัสวิชญ์   เชื้อไตรสรณ์</t>
  </si>
  <si>
    <t>คุณวชิรญาณ์   ศรีแก้วเฒ่า</t>
  </si>
  <si>
    <t>คุณอัษฏางค์   ชวนะเกาศัลย์</t>
  </si>
  <si>
    <t>คุณวันชัย   แสงอมรสกุล</t>
  </si>
  <si>
    <t>คุณไชยา   เริงเกษตรกรณ์</t>
  </si>
  <si>
    <t>คุณจิรวรรณ   เสนาดี</t>
  </si>
  <si>
    <t>คุณพิทยาภรณ์   ตั้งศิริไพบูลย์</t>
  </si>
  <si>
    <t>คุณกนกอร   บุญเพ็ง</t>
  </si>
  <si>
    <t>บริษัทอินเตอร์ ชัยพัฒนาพลาสติค   จำกัด</t>
  </si>
  <si>
    <t>คุณวรัชญ์   กล้าแข็ง</t>
  </si>
  <si>
    <t>คุณธีระพงษ์  ตันสิทธิพันธ์</t>
  </si>
  <si>
    <t>คุณนวลอนงค์   เตชะรุจิเศรษฐ</t>
  </si>
  <si>
    <t>คุณนัฐพงษ์    พลประถม</t>
  </si>
  <si>
    <t>คุณอภิชาติ   ทองคำชุม</t>
  </si>
  <si>
    <t>คุณสุชญา   เกไทสง</t>
  </si>
  <si>
    <t>คุณชุติมณฑน์   สีหนาท</t>
  </si>
  <si>
    <t>คุณอภิวัฒน์   ติดใจดี</t>
  </si>
  <si>
    <t>บริษัทเฟิร์ส เอ็นจิเนียริ่ง แอนด์ โซลูชั่น   จำกัด</t>
  </si>
  <si>
    <t>คุณธัญญ์รวี  แสงหิรัญเดชาฉัตร์</t>
  </si>
  <si>
    <t>คุณสุรจิต  เมธีวิทยา</t>
  </si>
  <si>
    <t>คุณชัยชาญ   นวลศรี</t>
  </si>
  <si>
    <t>คุณศิริชัย  กาญจโนภาส</t>
  </si>
  <si>
    <t>คุณศิโรรัตน์  สัจจะวัฒนวิมล</t>
  </si>
  <si>
    <t>คุณชาติชาย  วรพิพัฒน์</t>
  </si>
  <si>
    <t>คุณสิริกร กรกิตติกุลภักดี</t>
  </si>
  <si>
    <t>คุณวิญญู  หนูเรขา</t>
  </si>
  <si>
    <t>คุณจันทร  สังข์สุวรรณ</t>
  </si>
  <si>
    <t>คุณรินทร์ลภัส  ปิจดี</t>
  </si>
  <si>
    <t>คุณพิทยารัตน์  มูลจันดา</t>
  </si>
  <si>
    <t>คุณวีราภรณ์  สีตะสิทธิ์</t>
  </si>
  <si>
    <t>SVVM6812-008</t>
  </si>
  <si>
    <t>คุณธนกฤต  ฤทธิ์ภักดีกุล</t>
  </si>
  <si>
    <t>คุณจิตตาภา  ขุนทอง</t>
  </si>
  <si>
    <t>คุณวิรุฬห์  มูซอ</t>
  </si>
  <si>
    <t>คุณสุดนารี  แซ่ลี้</t>
  </si>
  <si>
    <t>คุณสุภาธินี  อินทโสภา</t>
  </si>
  <si>
    <t>คุณไอลดา  ไชยศรี</t>
  </si>
  <si>
    <t>คุณนพรัตน์  ศักดิ์ศิริ</t>
  </si>
  <si>
    <t>คุณอัครวัฒน์  เดชานันท์เสถียร</t>
  </si>
  <si>
    <t>RVEM6812-054</t>
  </si>
  <si>
    <t>ฌTR-25120004 อมาวศรี ยิ่งธนพิบูลย์</t>
  </si>
  <si>
    <t>RVEM6812-055</t>
  </si>
  <si>
    <t>ฌTR-25120005 อาภรณ์ อิสมาแอล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</si>
  <si>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</si>
  <si>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</si>
  <si>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</si>
  <si>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</si>
  <si>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</si>
  <si>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</si>
  <si>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ลำดับ</t>
  </si>
  <si>
    <t>Customer Name</t>
  </si>
  <si>
    <t>คำอธิบายรายการ</t>
  </si>
  <si>
    <t>เดบิท</t>
  </si>
  <si>
    <t>ยอดคงเหลือ1</t>
  </si>
  <si>
    <t>Amount</t>
  </si>
  <si>
    <t>Row Labels</t>
  </si>
  <si>
    <t>Grand Total</t>
  </si>
  <si>
    <t>Sum of Amount</t>
  </si>
  <si>
    <t>&gt;0</t>
  </si>
  <si>
    <t>&lt;0</t>
  </si>
  <si>
    <t>ฌTR-25120003</t>
  </si>
  <si>
    <t>จินต์จุฑา อเนกสิทธิสิน</t>
  </si>
  <si>
    <t>ฌTR-25120006</t>
  </si>
  <si>
    <t>วรศักดิ์ หวานสนิท</t>
  </si>
  <si>
    <t>ฌTB-25120010</t>
  </si>
  <si>
    <t>พรธัญภัทร  พูลธัญกิจ</t>
  </si>
  <si>
    <t>ฌTR-25110007</t>
  </si>
  <si>
    <t>รสสุคนธ์ อัตตวิโรจนานนท์</t>
  </si>
  <si>
    <t>ฌTR-25110022</t>
  </si>
  <si>
    <t>พันธุ์รวี บุนนาค</t>
  </si>
  <si>
    <t>ฌTR-25110031</t>
  </si>
  <si>
    <t>กฤษณะ บุญศรี</t>
  </si>
  <si>
    <t>ฌTR-25110035</t>
  </si>
  <si>
    <t>กอบวิทย์ พิริยะวัฒน์</t>
  </si>
  <si>
    <t>ฌTR-25120013</t>
  </si>
  <si>
    <t>คุณลับผล  นิระปะกะ</t>
  </si>
  <si>
    <t>ฌTR-25120015</t>
  </si>
  <si>
    <t>ฌTR-25120021</t>
  </si>
  <si>
    <t>คุณกชกร  วัชราไทย</t>
  </si>
  <si>
    <t>ฌTR-25120022</t>
  </si>
  <si>
    <t>ฌTR-25120024</t>
  </si>
  <si>
    <t>ฌTR-25120025</t>
  </si>
  <si>
    <t>ฌTR-25120028</t>
  </si>
  <si>
    <t>ฌTR-25120029</t>
  </si>
  <si>
    <t>ฌTR-25120030</t>
  </si>
  <si>
    <t>ฌTR-25120031</t>
  </si>
  <si>
    <t>ฌTR-25120033</t>
  </si>
  <si>
    <t>ฌTR-25120039</t>
  </si>
  <si>
    <t>ฌTR-25120040</t>
  </si>
  <si>
    <t>ฌTR-25120053</t>
  </si>
  <si>
    <t>ฌTR-25120054</t>
  </si>
  <si>
    <t>ฌTR-25120055</t>
  </si>
  <si>
    <t>คุณสิริกร  กรกิตติกุลภักดี</t>
  </si>
  <si>
    <t>ฌTR-25120056</t>
  </si>
  <si>
    <t>ฌTR-25120060</t>
  </si>
  <si>
    <t>ฌTR-25120061</t>
  </si>
  <si>
    <t>ฌTR-25120062</t>
  </si>
  <si>
    <t>ฌTR-25120063</t>
  </si>
  <si>
    <t>คุณวรัสชญาน์  ไพศาลกนกวัชร์</t>
  </si>
  <si>
    <t>ฌTR-25120064</t>
  </si>
  <si>
    <t>คุณนิธินาฏ  ชินะนาวิน</t>
  </si>
  <si>
    <t>ฌTR-25120066</t>
  </si>
  <si>
    <t>คุณพวงเพชร  ศรีสุพล</t>
  </si>
  <si>
    <t>ฌTR-25120077</t>
  </si>
  <si>
    <t>คุณอัษฏางค์  ชวนะเกาศัลย์</t>
  </si>
  <si>
    <t>ฌTR-25120078</t>
  </si>
  <si>
    <t>คุณวันชัย  แสงอมรสกุล</t>
  </si>
  <si>
    <t>ฌTR-25120079</t>
  </si>
  <si>
    <t>คุณไชยา  เริงเกษตรกรณ์</t>
  </si>
  <si>
    <t>ฌTR-25120080</t>
  </si>
  <si>
    <t>ฌTR-25120081</t>
  </si>
  <si>
    <t>คุณพิทยาภรณ์  ตั้งศิริไพบูลย์</t>
  </si>
  <si>
    <t>ฌTR-25120082</t>
  </si>
  <si>
    <t>คุณกนกอร  บุญเพ็ง</t>
  </si>
  <si>
    <t>ฌTR-25120083</t>
  </si>
  <si>
    <t>บริษัทอินเตอร์ ชัยพัฒนาพลาสติค  จำกัด</t>
  </si>
  <si>
    <t>ฌTR-25120084</t>
  </si>
  <si>
    <t>คุณวรัชญ์  กล้าแข็ง</t>
  </si>
  <si>
    <t>ฌTR-25120086</t>
  </si>
  <si>
    <t>คุณนวลอนงค์  เตชะรุจิเศรษฐ</t>
  </si>
  <si>
    <t>ฌTR-25120087</t>
  </si>
  <si>
    <t>คุณนัฐพงษ์  พลประถม</t>
  </si>
  <si>
    <t>ฌTR-25120088</t>
  </si>
  <si>
    <t>คุณอภิชาติ  ทองคำชุม</t>
  </si>
  <si>
    <t>ฌTR-25120089</t>
  </si>
  <si>
    <t>คุณสุชญา  เกไทสง</t>
  </si>
  <si>
    <t>ฌTR-25120090</t>
  </si>
  <si>
    <t>ฌTR-25120091</t>
  </si>
  <si>
    <t>คุณอภิวัฒน์  ติดใจดี</t>
  </si>
  <si>
    <t>ฌTR-25120092</t>
  </si>
  <si>
    <t>บริษัทเฟิร์ส เอ็นจิเนียริ่ง แอนด์ โซล</t>
  </si>
  <si>
    <t>ฌTR-25120093</t>
  </si>
  <si>
    <t>ฌTR-25120095</t>
  </si>
  <si>
    <t>คุณชัยชาญ  นวลศรี</t>
  </si>
  <si>
    <t>ฌTR-25120097</t>
  </si>
  <si>
    <t>ฌTR-25120098</t>
  </si>
  <si>
    <t>ฌTR-25120275</t>
  </si>
  <si>
    <t>คุณศุภัสวิชญ์  เชื้อไตรสรณ์</t>
  </si>
  <si>
    <t>ฌTR-25120276</t>
  </si>
  <si>
    <t>คุณวชิรญาณ์  ศรีแก้วเฒ่า</t>
  </si>
  <si>
    <t>ITR-25100008</t>
  </si>
  <si>
    <t>ITR-25100020</t>
  </si>
  <si>
    <t>กาญจน์ณัฎฐา กลิ่นสุคนธ์</t>
  </si>
  <si>
    <t>อภิสิทธิ์ คำสี</t>
  </si>
  <si>
    <t>รายละเอียด</t>
  </si>
  <si>
    <t>ชื่อ - สกุล</t>
  </si>
  <si>
    <t>จำนวนเงิน</t>
  </si>
  <si>
    <t>หมายเหตุ</t>
  </si>
  <si>
    <t>บริษัท  เอกสห เอ มอเตอร์ จำกัด (MILE ONE)</t>
  </si>
  <si>
    <t>รายละเอียดประกอบงบดุลปี  2568</t>
  </si>
  <si>
    <t>ณ วันที่ 31/12/2568</t>
  </si>
  <si>
    <t>เงินจองรถยนต์</t>
  </si>
  <si>
    <t>225-01-03</t>
  </si>
  <si>
    <t>บริษัท เอกสห เอ มอเตอร์จำกัด (Mile One)</t>
  </si>
  <si>
    <t>ณ วันที่ 31 ธันวาคม 2568</t>
  </si>
  <si>
    <t>รหัสบัญชี</t>
  </si>
  <si>
    <t>ชื่อบัญชี</t>
  </si>
  <si>
    <t>จำนวนเงินตามงบ</t>
  </si>
  <si>
    <t>ยืนยันยอดคงเหลือ ณ. 31 ธันวาคม 2568</t>
  </si>
  <si>
    <t>ผู้จัดทำ</t>
  </si>
  <si>
    <t>นางสาว ชัญญณัท  ถนอม</t>
  </si>
  <si>
    <t>ผู้สอบทาน</t>
  </si>
  <si>
    <t>...........................................</t>
  </si>
  <si>
    <t>วันที่จัดทำ</t>
  </si>
  <si>
    <t>วันที่สอบทาน</t>
  </si>
  <si>
    <t>2205-01-03</t>
  </si>
  <si>
    <t>เงินจองรถยนต์-M One</t>
  </si>
  <si>
    <t>A049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</si>
</sst>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d/m/yy;@"/>
    <numFmt numFmtId="188" formatCode="#,##0.00_ ;[Red]\-#,##0.00\ "/>
  </numFmts>
  <fonts count="10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30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81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2" borderId="0" xfId="0" applyNumberFormat="1" applyFill="1"/>
    <xf numFmtId="0" fontId="1" fillId="2" borderId="0" xfId="0" applyFont="1" applyFill="1" applyAlignment="1">
      <alignment horizontal="center"/>
    </xf>
    <xf numFmtId="187" fontId="1" fillId="2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1" xfId="0" applyNumberFormat="1" applyBorder="1" applyAlignment="1">
      <alignment horizontal="center"/>
    </xf>
    <xf numFmtId="188" fontId="0" fillId="0" borderId="1" xfId="0" applyNumberFormat="1" applyBorder="1"/>
    <xf numFmtId="4" fontId="2" fillId="0" borderId="0" xfId="0" applyNumberFormat="1" applyFont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4" fontId="1" fillId="0" borderId="5" xfId="0" applyNumberFormat="1" applyFont="1" applyBorder="1"/>
    <xf numFmtId="0" fontId="3" fillId="0" borderId="0" xfId="1"/>
    <xf numFmtId="0" fontId="4" fillId="0" borderId="0" xfId="2" applyFont="1"/>
    <xf numFmtId="0" fontId="4" fillId="6" borderId="10" xfId="2" applyFont="1" applyFill="1" applyBorder="1"/>
    <xf numFmtId="0" fontId="7" fillId="6" borderId="11" xfId="2" applyFont="1" applyFill="1" applyBorder="1"/>
    <xf numFmtId="0" fontId="7" fillId="6" borderId="12" xfId="2" applyFont="1" applyFill="1" applyBorder="1"/>
    <xf numFmtId="0" fontId="8" fillId="6" borderId="13" xfId="2" applyFont="1" applyFill="1" applyBorder="1" applyAlignment="1">
      <alignment horizontal="center"/>
    </xf>
    <xf numFmtId="0" fontId="8" fillId="6" borderId="14" xfId="2" applyFont="1" applyFill="1" applyBorder="1"/>
    <xf numFmtId="0" fontId="8" fillId="6" borderId="15" xfId="2" applyFont="1" applyFill="1" applyBorder="1"/>
    <xf numFmtId="0" fontId="9" fillId="6" borderId="13" xfId="2" quotePrefix="1" applyFont="1" applyFill="1" applyBorder="1" applyAlignment="1">
      <alignment horizontal="center"/>
    </xf>
    <xf numFmtId="0" fontId="9" fillId="6" borderId="0" xfId="2" applyFont="1" applyFill="1" applyAlignment="1">
      <alignment horizontal="left"/>
    </xf>
    <xf numFmtId="0" fontId="9" fillId="6" borderId="0" xfId="2" applyFont="1" applyFill="1"/>
    <xf numFmtId="43" fontId="9" fillId="6" borderId="16" xfId="3" applyFont="1" applyFill="1" applyBorder="1"/>
    <xf numFmtId="0" fontId="4" fillId="6" borderId="13" xfId="2" applyFont="1" applyFill="1" applyBorder="1"/>
    <xf numFmtId="40" fontId="9" fillId="6" borderId="0" xfId="2" applyNumberFormat="1" applyFont="1" applyFill="1"/>
    <xf numFmtId="40" fontId="8" fillId="6" borderId="0" xfId="2" applyNumberFormat="1" applyFont="1" applyFill="1"/>
    <xf numFmtId="43" fontId="9" fillId="6" borderId="0" xfId="3" applyFont="1" applyFill="1" applyBorder="1"/>
    <xf numFmtId="0" fontId="4" fillId="6" borderId="0" xfId="2" applyFont="1" applyFill="1"/>
    <xf numFmtId="40" fontId="4" fillId="6" borderId="0" xfId="3" applyNumberFormat="1" applyFont="1" applyFill="1" applyBorder="1"/>
    <xf numFmtId="43" fontId="6" fillId="6" borderId="16" xfId="3" applyFont="1" applyFill="1" applyBorder="1"/>
    <xf numFmtId="0" fontId="4" fillId="6" borderId="13" xfId="2" applyFont="1" applyFill="1" applyBorder="1" applyAlignment="1">
      <alignment horizontal="center"/>
    </xf>
    <xf numFmtId="0" fontId="4" fillId="6" borderId="0" xfId="2" applyFont="1" applyFill="1" applyAlignment="1">
      <alignment horizontal="center"/>
    </xf>
    <xf numFmtId="40" fontId="4" fillId="6" borderId="0" xfId="3" applyNumberFormat="1" applyFont="1" applyFill="1" applyBorder="1" applyAlignment="1">
      <alignment horizontal="center"/>
    </xf>
    <xf numFmtId="0" fontId="4" fillId="6" borderId="0" xfId="2" applyFont="1" applyFill="1" applyAlignment="1">
      <alignment horizontal="left"/>
    </xf>
    <xf numFmtId="188" fontId="4" fillId="6" borderId="0" xfId="3" applyNumberFormat="1" applyFont="1" applyFill="1" applyBorder="1"/>
    <xf numFmtId="0" fontId="9" fillId="6" borderId="16" xfId="2" applyFont="1" applyFill="1" applyBorder="1"/>
    <xf numFmtId="43" fontId="4" fillId="6" borderId="16" xfId="3" applyFont="1" applyFill="1" applyBorder="1"/>
    <xf numFmtId="0" fontId="4" fillId="6" borderId="16" xfId="2" applyFont="1" applyFill="1" applyBorder="1"/>
    <xf numFmtId="0" fontId="9" fillId="6" borderId="13" xfId="2" applyFont="1" applyFill="1" applyBorder="1"/>
    <xf numFmtId="43" fontId="6" fillId="6" borderId="17" xfId="3" applyFont="1" applyFill="1" applyBorder="1"/>
    <xf numFmtId="0" fontId="4" fillId="6" borderId="18" xfId="2" applyFont="1" applyFill="1" applyBorder="1"/>
    <xf numFmtId="0" fontId="4" fillId="6" borderId="9" xfId="2" applyFont="1" applyFill="1" applyBorder="1"/>
    <xf numFmtId="40" fontId="4" fillId="6" borderId="9" xfId="3" applyNumberFormat="1" applyFont="1" applyFill="1" applyBorder="1"/>
    <xf numFmtId="0" fontId="4" fillId="6" borderId="19" xfId="2" applyFont="1" applyFill="1" applyBorder="1"/>
    <xf numFmtId="0" fontId="9" fillId="0" borderId="10" xfId="2" applyFont="1" applyBorder="1"/>
    <xf numFmtId="0" fontId="9" fillId="0" borderId="11" xfId="2" applyFont="1" applyBorder="1"/>
    <xf numFmtId="0" fontId="9" fillId="0" borderId="12" xfId="2" applyFont="1" applyBorder="1"/>
    <xf numFmtId="0" fontId="9" fillId="0" borderId="13" xfId="2" applyFont="1" applyBorder="1"/>
    <xf numFmtId="0" fontId="9" fillId="0" borderId="0" xfId="2" applyFont="1"/>
    <xf numFmtId="0" fontId="9" fillId="0" borderId="16" xfId="2" applyFont="1" applyBorder="1"/>
    <xf numFmtId="14" fontId="9" fillId="0" borderId="0" xfId="2" applyNumberFormat="1" applyFont="1"/>
    <xf numFmtId="0" fontId="9" fillId="0" borderId="18" xfId="2" applyFont="1" applyBorder="1"/>
    <xf numFmtId="0" fontId="9" fillId="0" borderId="9" xfId="2" applyFont="1" applyBorder="1"/>
    <xf numFmtId="0" fontId="9" fillId="0" borderId="19" xfId="2" applyFont="1" applyBorder="1"/>
    <xf numFmtId="0" fontId="3" fillId="0" borderId="0" xfId="2"/>
    <xf numFmtId="4" fontId="1" fillId="0" borderId="0" xfId="0" applyNumberFormat="1" applyFont="1"/>
    <xf numFmtId="14" fontId="1" fillId="0" borderId="0" xfId="0" quotePrefix="1" applyNumberFormat="1" applyFont="1" applyAlignment="1">
      <alignment horizontal="right"/>
    </xf>
    <xf numFmtId="0" fontId="5" fillId="5" borderId="6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4" fillId="0" borderId="9" xfId="2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">
    <cellStyle name="Normal" xfId="0" builtinId="0"/>
    <cellStyle name="Normal 2" xfId="1" xr:uid="{7A0EB7CE-B0C9-455F-923B-89465F8A63CD}"/>
    <cellStyle name="จุลภาค 2" xfId="3" xr:uid="{DE5A107F-6755-4B76-90D0-3B3EE97630F3}"/>
    <cellStyle name="ปกติ 2" xfId="2" xr:uid="{8738612A-1770-4696-9BD5-214925C5AC3B}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152400</xdr:rowOff>
    </xdr:from>
    <xdr:ext cx="1447067" cy="752475"/>
    <xdr:pic>
      <xdr:nvPicPr>
        <xdr:cNvPr id="2" name="Picture 1" descr="TPS AUTOS">
          <a:extLst>
            <a:ext uri="{FF2B5EF4-FFF2-40B4-BE49-F238E27FC236}">
              <a16:creationId xmlns:a16="http://schemas.microsoft.com/office/drawing/2014/main" id="{8CE95469-FB21-449C-B79D-FD882CC9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52400"/>
          <a:ext cx="1447067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685631365741" createdVersion="8" refreshedVersion="8" minRefreshableVersion="3" recordCount="438" xr:uid="{A8E67413-DC4A-4506-9355-2A675AEDFE19}">
  <cacheSource type="worksheet">
    <worksheetSource ref="A1:J439" sheet="รายงาน"/>
  </cacheSource>
  <cacheFields count="10">
    <cacheField name="ลำดับ" numFmtId="0">
      <sharedItems containsSemiMixedTypes="0" containsString="0" containsNumber="1" containsInteger="1" minValue="1" maxValue="438"/>
    </cacheField>
    <cacheField name="Customer Name" numFmtId="0">
      <sharedItems count="353">
        <s v="ITR-25090028 นพธีรา คงสุวรรณ์"/>
        <s v="ITR-25090032 ณัฐฐา อุดสาย"/>
        <s v="ITR-25090035 เอนก ศรีชายวิวัฒนกุล"/>
        <s v="ITR-25100001 มิตรชัย ประสิทธิ์"/>
        <s v="ITR-25100006 อวานห์ หว่าง หวู๊"/>
        <s v="ITR-25100007 บรรจง นิสภวาณิชย์"/>
        <s v="ITR-25100008 กาญจน์ณัฎฐา กลิ่นสุคนธ์"/>
        <s v="ITR-25100009 ปนิตา อินทรวงศ์"/>
        <s v="ITR-25100010 วาสนา หมอกเจริญ"/>
        <s v="ITR-25100012 นันทรัตน์ ตุลยนิษก์"/>
        <s v="ITR-25100014 บจ.สุขสมบูรณ์ 2022"/>
        <s v="ITR-25100018 บจ.สุขสมบูรณ์ 2022"/>
        <s v="ITR-25100019 เฉลิมเกียรติ อากาศสุภา"/>
        <s v="ITR-25100020 อภิสิทธิ์ คำสี"/>
        <s v="ITR-25100022 อิทธิพล น้อยเพชร"/>
        <s v="ITR-25100023 ประยูร สัมฤทธิกุล"/>
        <s v="ITR-25100025 วรายุกนิษฐ มณีอินทร์"/>
        <s v="ITR-25100030 MR.SIU YUEN POON"/>
        <s v="ITR-25100032 บจ.โคตรคาร์ ทรานสปอร์ต"/>
        <s v="ITR-25100033 บจ.โคตรคาร์ ทรานสปอร์ต"/>
        <s v="ITR-25100034 กัญญาภรณ์ พุทธเจริญลาภ"/>
        <s v="ITR-25100035 ธัญมน กิราสุข"/>
        <s v="ITR-25100038 บจ.สยาม ทัทสึ ชัน ฟู้ด"/>
        <s v="ITR-25100039 MR.SIU YUEN POON"/>
        <s v="ITR-25100040 กิตติวินท์ อัดตะนาท"/>
        <s v="RTR-25110001 วิภาภัทร วิภาวสุ"/>
        <s v="RTR-25110002 ปรเมษฐ์ วรเลิศโกศล"/>
        <s v="RTR-25110003 บจ.โคตรคาร์ ทรานสปอร์ต"/>
        <s v="RTR-25110004 ยงยุทธ มิตรแสงสุข"/>
        <s v="RTR-25110005 สุภานี เงินคีรี"/>
        <s v="ITR-25110009 นารีรัตน์ คำภิระปาวงศ์"/>
        <s v="ITR-25110010 สุดารัตน์ เรืองศรี"/>
        <s v="ITR-25110011 เรวัติ เชื้อแสง"/>
        <s v="ITB-25110018 คุณธัญวลัย  ต่างประภา"/>
        <s v="ITR-25110014 ศรีนคร จันทะปัญญา"/>
        <s v="ITR-25110016 สุดาทิพย์ ศรีสร้อย"/>
        <s v="ITR-25110017 เรวัติ เชื้อแสง"/>
        <s v="ฌTR-25110006 บจ.โคตรคาร์ ทรานสปอร์ต"/>
        <s v="ฌTR-25110007 รสสุคนธ์ อัตตวิโรจนานนท์"/>
        <s v="ฌTR-25110008 ณภัสญาณ์ เลิศวรรธน์กุล"/>
        <s v="ฌTR-25110009 ประภาพร ทิพย์โอสถ"/>
        <s v="ฌTR-25110010 พรหมนิพิฐ เหมือนรอดดี"/>
        <s v="ฌTR-25110011 สุกฤษฎิ์ การชาตรี"/>
        <s v="ฌTR-25110012 จิตตาภา ขุนทอง"/>
        <s v="ฌTR-25110013 ชัชวาล ตระการประไพ"/>
        <s v="ฌTR-25110014 บจ.โคตรคาร์ ทรานสปอร์ต"/>
        <s v="ฌTR-25110015 ศราวุธ โซะเฮง"/>
        <s v="ฌTR-25110016 วิรุฬห์ มูซอ"/>
        <s v="ฌTR-25110017 ศุภกร เจนกุลเจริญ"/>
        <s v="ฌTR-25110018 กรกช อภิวงค์"/>
        <s v="ฌTR-25110019 ณภัสญาณ์ เลิศวรรธน์กุล"/>
        <s v="ฌTR-25110020 ไอลดา ไชยศรี"/>
        <s v="ฌTR-25110021 ศรีนคร จันทะปัญญา"/>
        <s v="ฌTR-25110022 พันธุ์รวี บุนนาค"/>
        <s v="ฌTR-25110023 อัครวัฒน์ เดชานันท์เสถียร"/>
        <s v="ฌTR-25110024 นัยน์ปพร จันดี"/>
        <s v="ฌTR-25110025 อินทิรา เฉลิมวงศ์"/>
        <s v="ฌTR-25110026 สมปรารถนา คล้ายวิเชียร"/>
        <s v="ฌTR-25110027 การันต์ บริรักษ์สัมพันธ์"/>
        <s v="ฌTR-25110028 นพรัตน์ ศักดิ์ศิริ"/>
        <s v="ฌTR-25110029 ปุณยนุช ธรรมศิริ"/>
        <s v="ฌTR-25110030 ชุมาพร นนท์ปฏิมากุล"/>
        <s v="ฌTR-25110031 กฤษณะ บุญศรี"/>
        <s v="ฌTR-25110032 สุภาธินี อินทโสภา"/>
        <s v="ฌTR-25110033 ธนกฤต ฤทธิ์ภักดีกุล"/>
        <s v="ฌTR-25110034 สุดนารี แซ่ลี้"/>
        <s v="ฌTR-25110035 กอบวิทย์ พิริยะวัฒน์"/>
        <s v="ฌTR-25110036 พงศ์ภัค ตามแนวธรรม"/>
        <s v="ฌTB-25120001 จิราภา โหมดวิจิตร"/>
        <s v="ฌTR-25120002 อินทิรา เฉลิมวงศ์"/>
        <s v="TR-25120003 จินต์จุฑา อเนกสิทธิสิน"/>
        <s v="ฌTR-25120004 อมาวศรี ยิ่งธนพิบูลย์"/>
        <s v="ฌTR-25120005 อาภรณ์ อิสมาแอล"/>
        <s v="TR-25120006 วรศักดิ์ หวานสนิท"/>
        <s v="ฌTR-25120007 ธนนดา  พันธุ์ธนวิบูลย์"/>
        <s v="ฌTR-25120008 รุ่งธรรม  เหลืองรุ่งวสันต์"/>
        <s v="ฌTR-25120009 ยลดา  อาหรับ"/>
        <s v="ฌTB-25120010 พรธัญภัทร  พูลธัญกิจ"/>
        <s v="ฌTR-25120011 คุณศุภกานต์  หลำนุ้ย"/>
        <s v="ฌTR-25120012 คุณณัฏฐา  ณ บางช้าง"/>
        <s v="ฌTR-25120013 คุณลับผล  นิระปะกะ"/>
        <s v="ฌTR-25120014 คุณนารีรัตน์  คำภิระปาวงศ์"/>
        <s v="ฌTR-25120015 คุณสิริลภา  ปรางประสิทธิ์"/>
        <s v="ฌTR-25120016 คุณณัฐวุฒิ  ทาตุ๊"/>
        <s v="ฌTR-25120017 คุณธรรมธร  เกตุแก้ว"/>
        <s v="ฌTR-25120018 คุณกษิรา  บุญอินทร์"/>
        <s v="ฌTR-25120019 คุณปาณิศรา  ธนะชัยธิรดา"/>
        <s v="ฌTR-25120020 คุณธีรวุฒิ  นิลเหลือง"/>
        <s v="ฌTR-25120021 คุณกชกร  วัชราไทย"/>
        <s v="ฌTR-25120022 คุณสิโรตม์  สิริวรนันท์"/>
        <s v="ฌTR-25120023 บุษกร แป้นขาว"/>
        <s v="ฌTR-25120024 คุณจิรานุวัฒน์  ดอกไม้"/>
        <s v="ฌTR-25120025 คุณนามกร  ธรรมสาโร"/>
        <s v="ฌTR-25120026 คุณวันชัย  อนุชาด"/>
        <s v="ฌTR-25120027 คุณพงศ์ภัค  ตามแนวธรรม"/>
        <s v="ฌTR-25120028 คุณสิโรตม์  สิริวรนันท์"/>
        <s v="ฌTR-25120029 คุณสุมณฑา  พรมวงค์"/>
        <s v="ฌTR-25120030 คุณรัตนา  พรหมบุตร"/>
        <s v="ฌTR-25120031 คุณสุกิจ  ฐานนำเกียรติ"/>
        <s v="ฌTR-25120032 คุณนาฏนภา  เป้าปราณี"/>
        <s v="ฌTR-25120033 คุณสายสมร  ศิริทรัพย์"/>
        <s v="ฌTR-25120034 คุณสมประสงค์  เชิดชู"/>
        <s v="ฌTR-25120035 ศศมน พุทธสอน"/>
        <s v="ฌTR-25120036 คุณชุติมา  บุญสูง"/>
        <s v="ฌTR-25120037 คุณศศินันท์  คิรินทร์รัตนะ"/>
        <s v="ฌTR-25120038 คุณนิวัฒน์  จีรวงศ์สุนทร"/>
        <s v="ฌTR-25120039 คุณสิริรัตน์  ตรงต่อศักดิ์"/>
        <s v="ฌTR-25120040 คุณนิธิรุจน์  พรธัญประสิทธิ์"/>
        <s v="ฌTR-25120042 คุณมณฑป  โรจนวิสุทธิ์"/>
        <s v="ฌTR-25120043 คุณอาทิตยา  ภัทรบุญภักดิ์"/>
        <s v="ฌTR-25120044 คุณคมกฤษณ์  วังตระกูล"/>
        <s v="ฌTR-25120045 คุณปรเมศวร์  เอี่ยมเต็ง"/>
        <s v="ฌTR-25120046 คุณสุกัลย์  เหลืองพรนุวัฒน์"/>
        <s v="ฌTR-25120047 คุณอนาคิน  ธนรุ่งปัญญาสิทธิ์"/>
        <s v="ฌTR-25120048 คุณนิรัตน์  สุวรรณวิชัย"/>
        <s v="ฌTR-25120050 คุณกัญญา  อินทะมา"/>
        <s v="ฌTR-25120052 คุณนวกชมณ  บุญรอดรักษุ์"/>
        <s v="ฌTR-25120049 คุณทรงวุฒิ  พรมโต"/>
        <s v="ฌTR-25120051 คุณณัฐพงษ์  กองชัยมงคล"/>
        <s v="ฌTR-25120053 คุณศศิกา  คูเจริญศิลป์"/>
        <s v="ฌTR-25120054 คุณสุรีย์พร  จอมประเสริฐกุล"/>
        <s v="ฌTR-25120055 คุณสิริกร  กรกิตติกุลภักดี"/>
        <s v="ฌTR-25120056 คุณวิญญู  หนูเรขา"/>
        <s v="ฌTR-25120058 คุณรินทร์ลภัส  ปิจดี"/>
        <s v="ฌTR-25120057 คุณจันทร  สังข์สุวรรณ"/>
        <s v="ฌTR-25120059 คุณพิทยารัตน์  มูลจันดา"/>
        <s v="ฌTR-25120060 คุณวีราภรณ์  สีตะสิทธิ์"/>
        <s v="ฌTR-25120061 คุณกนกวรรณ  หาญณรงค์"/>
        <s v="ฌTR-25120062 คุณปิยชาติ  กิจธร"/>
        <s v="ฌTR-25120063 คุณวรัสชญาน์  ไพศาลกนกวัชร์"/>
        <s v="ฌTR-25120064 คุณนิธินาฏ  ชินะนาวิน"/>
        <s v="ฌTR-25120065 คุณพงษ์ชัย  เตียวรัตนกุล"/>
        <s v="ฌTR-25120066 คุณพวงเพชร  ศรีสุพล"/>
        <s v="ฌTR-25120068 ภควัต ส่งคุณฤทธิการ"/>
        <s v="ฌTR-25120069 คุณจริยา  พิมละมาด"/>
        <s v="ฌTR-25120071 คุณภาคิณ  ประเสริฐจิต"/>
        <s v="ฌTR-25120072 คุณจิดาภา  อริยพฤกษ์"/>
        <s v="ฌTR-25120073 คุณณัฐพล  จรัสสุขสวัสดิ์"/>
        <s v="ฌTR-25120074 คุณนันท์นภัส  สาโรวาท"/>
        <s v="ฌTR-25120275 คุณศุภัสวิชญ์  เชื้อไตรสรณ์"/>
        <s v="ฌTR-25120276 คุณวชิรญาณ์  ศรีแก้วเฒ่า"/>
        <s v="ฌTR-25120077 คุณอัษฏางค์  ชวนะเกาศัลย์"/>
        <s v="ฌTR-25120078 คุณวันชัย  แสงอมรสกุล"/>
        <s v="ฌTR-25120079 คุณไชยา  เริงเกษตรกรณ์"/>
        <s v="ฌTR-25120080 คุณจิรวรรณ   เสนาดี"/>
        <s v="ฌTR-25120081 คุณพิทยาภรณ์  ตั้งศิริไพบูลย์"/>
        <s v="ฌTR-25120082 คุณกนกอร  บุญเพ็ง"/>
        <s v="ฌTR-25120083 บริษัทอินเตอร์ ชัยพัฒนาพลาสติค  จำกัด"/>
        <s v="ฌTR-25120084 คุณวรัชญ์  กล้าแข็ง"/>
        <s v="ฌTR-25120085 คุณธีระพงษ์  ตันสิทธิพันธ์"/>
        <s v="ฌTR-25120086 คุณนวลอนงค์  เตชะรุจิเศรษฐ"/>
        <s v="ฌTR-25120087 คุณนัฐพงษ์  พลประถม"/>
        <s v="ฌTR-25120088 คุณอภิชาติ  ทองคำชุม"/>
        <s v="ฌTR-25120089 คุณสุชญา  เกไทสง"/>
        <s v="ฌTR-25120090 คุณชุติมณฑน์   สีหนาท"/>
        <s v="ฌTR-25120091 คุณอภิวัฒน์  ติดใจดี"/>
        <s v="ฌTR-25120092 บริษัทเฟิร์ส เอ็นจิเนียริ่ง แอนด์ โซล"/>
        <s v="ฌTR-25120093 คุณธัญญ์รวี  แสงหิรัญเดชาฉัตร์"/>
        <s v="ฌTR-25120094 คุณสุรจิต  เมธีวิทยา"/>
        <s v="ฌTR-25120095 คุณชัยชาญ  นวลศรี"/>
        <s v="ฌTR-25120095 คุณศิริชัย  กาญจโนภาส"/>
        <s v="ฌTR-25120097 คุณศิโรรัตน์  สัจจะวัฒนวิมล"/>
        <s v="ฌTR-25120098  คุณชาติชาย  วรพิพัฒน์"/>
        <s v="คุณอินทิรา  เฉลิมวงศ์"/>
        <s v="คุณศุภกานต์  หลำนุ้ย"/>
        <s v="คุณณัฏฐา  ณ บางช้าง"/>
        <s v="คุณณัฐวุฒิ  ทาตุ๊"/>
        <s v="สุกฤษฎิ์ การชาตรี/ฌTR-25110011" u="1"/>
        <s v="ศราวุธ โซะเฮง/ฌTR-25110015" u="1"/>
        <s v="ประภาพร ทิพย์โอสภ/ฌTR-25110009" u="1"/>
        <s v="บริษัทอินเตอร์ ชัยพัฒนาพลาสติค   จำกัด" u="1"/>
        <s v="บริษัทเฟิร์ส เอ็นจิเนียริ่ง แอนด์ โซลูชั่น   จำกัด" u="1"/>
        <s v="คุณอัษฏางค์   ชวนะเกาศัลย์" u="1"/>
        <s v="คุณอภิวัฒน์   ติดใจดี" u="1"/>
        <s v="คุณอภิชาติ   ทองคำชุม" u="1"/>
        <s v="คุณสุรีย์พร  จอมประเสริฐกุล" u="1"/>
        <s v="คุณสุมณฑา  พรมวงค์" u="1"/>
        <s v="คุณสุชญา   เกไทสง" u="1"/>
        <s v="คุณสุกิจ  ฐานนำเกียรติ" u="1"/>
        <s v="คุณสิริลภา  ปรางประสิทธิ์" u="1"/>
        <s v="คุณสิริรัตน์  ตรงต่อศักดิ์" u="1"/>
        <s v="คุณสิริกร กรกิตติกุลภักดี" u="1"/>
        <s v="คุณสิโรตม์  สิริวรนันท์" u="1"/>
        <s v="คุณศุภัสวิชญ์   เชื้อไตรสรณ์" u="1"/>
        <s v="คุณศิโรรัตน์  สัจจะวัฒนวิมล" u="1"/>
        <s v="คุณศศิกา  คูเจริญศิลป์" u="1"/>
        <s v="คุณวีราภรณ์  สีตะสิทธิ์" u="1"/>
        <s v="คุณวิญญู  หนูเรขา" u="1"/>
        <s v="คุณวรัสชญาน์   ไพศาลกนกวัชร์" u="1"/>
        <s v="คุณวรัชญ์   กล้าแข็ง" u="1"/>
        <s v="คุณวชิรญาณ์   ศรีแก้วเฒ่า" u="1"/>
        <s v="คุณลับผล  นิริะปะกะ" u="1"/>
        <s v="คุณรัตนา  พรหมบุตร" u="1"/>
        <s v="คุณพิทยาภรณ์   ตั้งศิริไพบูลย์" u="1"/>
        <s v="คุณพวงเพชร   ศรีสุพล" u="1"/>
        <s v="คุณพรธัญภัทร  พูลธัญกิจ" u="1"/>
        <s v="คุณปิยชาติ  กิจธร" u="1"/>
        <s v="คุณนิธิรุจน์  พรธัญประสิทธิ์" u="1"/>
        <s v="คุณนิธินาฏ   ชินะนาวิน" u="1"/>
        <s v="คุณนามกร  ธรรมสาโร" u="1"/>
        <s v="คุณนัฐพงษ์    พลประถม" u="1"/>
        <s v="คุณนวลอนงค์   เตชะรุจิเศรษฐ" u="1"/>
        <s v="คุณธัญญ์รวี  แสงหิรัญเดชาฉัตร์" u="1"/>
        <s v="คุณชุติมณฑน์   สีหนาท" u="1"/>
        <s v="คุณชาติชาย  วรพิพัฒน์" u="1"/>
        <s v="คุณชัยชาญ   นวลศรี" u="1"/>
        <s v="คุณจิรานุวัฒน์  ดอกไม้" u="1"/>
        <s v="คุณจิรวรรณ   เสนาดี" u="1"/>
        <s v="คุณกรกช  วัชราไทย" u="1"/>
        <s v="คุณกนกอร   บุญเพ็ง" u="1"/>
        <s v="คุณกนกวรรณ  หาญณรงค์" u="1"/>
        <s v="คุณไชยา   เริงเกษตรกรณ์" u="1"/>
        <s v="คุณวรศักดิ์  หวานสนิท" u="1"/>
        <s v="คุณจินต์จุฑา  อเนกสิทธิสิน" u="1"/>
        <s v="คุณสายสมร  ศิริทรัพย์" u="1"/>
        <s v="ฌTR-25120041 คุณวันชัย  อนุชาด" u="1"/>
        <s v="คุณวันชัย  อนุชาด" u="1"/>
        <s v="สุภานี เงินคีรี/RTR-25110005" u="1"/>
        <s v="ยงยุทธ มิตรแสงสุข/ฌTR-25110004" u="1"/>
        <s v="ปรเมษฐ์ วรเลิศโกศล/RTR-25110002" u="1"/>
        <s v="วิภาภัทร วิภาวสุ/RTR-25110001" u="1"/>
        <s v="ITR-25120022 คุณสุดาทิพย์  ศรีสร้อย" u="1"/>
        <s v="อิทธิพล น้อยเพชร/ITR-25100022" u="1"/>
        <s v="คุณณภัสญาณ์  เลิศวรรธน์กุล" u="1"/>
        <s v="ฌTR-25120052 นวกชมณ บุญรอดรักษุ์ (ไม่มี Vat)" u="1"/>
        <s v="คุณนวกชมณ  บุญรอดรักษุ์" u="1"/>
        <s v="ฌTR-25120033 คุณพงษ์ชัย  เตียวรัตนกุล" u="1"/>
        <s v="คุณพงษ์ชัย   เดียวรัตนกุล" u="1"/>
        <s v="ฌTR-25120029 คุณจิราภา  โหมดวิจิตร" u="1"/>
        <s v="คุณจิราภา  โหมดวิจิตร" u="1"/>
        <s v="ฌTR-25120028 คุณณัฐพล  จรัสสุขสวัสดิ์" u="1"/>
        <s v="คุณณัฐพล  จรัสสุขสวัสดิ์" u="1"/>
        <s v="ฌTR-25120015 คุณณัฐพร  แปงวัน" u="1"/>
        <s v="ฌTR-25120014 คุณณัฐพร  แปงวัน" u="1"/>
        <s v="คุณพงศ์ภัค  ตามแนวธรรม" u="1"/>
        <s v="TR-25120005 อาภรณ์ อิสมาแอล" u="1"/>
        <s v="คุณอาภรณ์  อิสมาแอล" u="1"/>
        <s v="TR-25120004 อมาวศรี ยิ่งธนพิบูลย์" u="1"/>
        <s v="คุณอมาวศรี  ยิ่งธนพิบูลย์" u="1"/>
        <s v="คุณอัครวัฒน์  เดชานันท์เสถียร" u="1"/>
        <s v="คุณสุภาธินี  อินทโสภา" u="1"/>
        <s v="ฌTB-25120021 วิรุฬห์  มูซอ" u="1"/>
        <s v="คุณวิรุฬห์  มูซอ" u="1"/>
        <s v="คุณนพรัตน์  ศักดิ์ศิริ" u="1"/>
        <s v="จิตตาภา ขุนทอง" u="1"/>
        <s v="คุณจิตตาภา  ขุนทอง" u="1"/>
        <s v="คุณไอลดา  ไชยศรี" u="1"/>
        <s v="กิตติวินท์ อัตตะนาท/ITR-25100040" u="1"/>
        <s v="กรกช อภิวงศ์/ฌTR-25110018" u="1"/>
        <s v="ITR-25090012 บงกช ศรัทธาวรกุล" u="1"/>
        <s v="ITR-25090013 จุฬา สังฆวัตร" u="1"/>
        <s v="ITR-25090014 มิตรชัย ประสิทธิ์" u="1"/>
        <s v="ฌTR-25120094 สุรจิต เมธีวิทยา" u="1"/>
        <s v="คุณสุรจิต  เมธีวิทยา" u="1"/>
        <s v="ฌTR-25120085 ธีระพงษ์ ตันสิทธิพันธ์" u="1"/>
        <s v="คุณธีระพงษ์  ตันสิทธิพันธ์" u="1"/>
        <s v="ฌTR-25120080 คุณจริยา  พิมละมาด" u="1"/>
        <s v="คุณจริยา  พิมละมาด" u="1"/>
        <s v="ฌTR-25120074 นันท์นภัส สาโรวาท" u="1"/>
        <s v="คุณนันท์นภัส   สาโรวาท" u="1"/>
        <s v="ฌTR-25120072 จิดาภา อริยพฤกษ์" u="1"/>
        <s v="คุณจิดาภา  อริยพฤกษ์" u="1"/>
        <s v="ฌTR-25120071 ภาคิณ ประเสริฐจิต" u="1"/>
        <s v="คุณภาคิณ  ประเสริฐจิต" u="1"/>
        <s v="ฌTR-25120026 คุณพิทยารัตน์  มูลจันดา" u="1"/>
        <s v="คุณพิทยารัตน์  มูลจันดา" u="1"/>
        <s v="ธนกฤต  ฤทธิ์ภักดีกุล" u="1"/>
        <s v="คุณธนกฤต  ฤทธิ์ภักดีกุล" u="1"/>
        <s v="ฌTR-25120067 คุณชุมาพร  นนท์ปฎิมากุล" u="1"/>
        <s v="ฌTR-25110030 คุณชุมาพร  นนท์ปฎิมากุล" u="1"/>
        <s v="คุณชุมาพร  นนท์ปฎิมากุล" u="1"/>
        <s v="ฌTR-25120068 คุณภควัต  ส่งคุณฤทธิการ" u="1"/>
        <s v="คุณภควัต   ส่งคุณฤทธิการ" u="1"/>
        <s v="ฌTR-25120057 จันทร สังข์สุวรรณ" u="1"/>
        <s v="คุณจันทร  สังข์สุวรรณ" u="1"/>
        <s v="ฌTR-25120058 รินทร์ลภัส ปิจดี" u="1"/>
        <s v="คุณรินทร์ลภัส  ปิจดี" u="1"/>
        <s v="ฌTR-25120050 กัญญา อินทะมา (ไม่มี Vat)" u="1"/>
        <s v="คุณกัญญา  อินทะมา" u="1"/>
        <s v="ฌTR-25120051 ณัฐพงษ์ กองชัยมงคล" u="1"/>
        <s v="คุณณัฐพงษ์  กองชัยมงคล" u="1"/>
        <s v="ฌTR-25120048 นิรัตน์ สุวรรณวิชัย" u="1"/>
        <s v="คุณนิรัตน์  สุวรรณวิชัย" u="1"/>
        <s v="ฌTR-25120047 อนาคิน ธนรุ่งปัญญาสิทธิ์" u="1"/>
        <s v="คุณอนาคิน  ธนรุ่งปัญญาสิทธิ์" u="1"/>
        <s v="ฌTR-25120046 สุกัลย์ เหลืองพรนุวัฒน์" u="1"/>
        <s v="คุณสุกัลย์  เหลืองพรนุวัฒน์" u="1"/>
        <s v="ฌTR-25120045 ปรเมศวร์ เอี่ยมเต็ง" u="1"/>
        <s v="คุณปรเมศวร์  เอี่ยมเต็ง" u="1"/>
        <s v="ฌTR-25120044 คมกฤษณ์ วังตระกูล" u="1"/>
        <s v="คุณคมกฤษณ์  วังตระกูล" u="1"/>
        <s v="ฌTR-25120013 คุณศศินันท์  คิรินทร์รัตนะ" u="1"/>
        <s v="คุณศศินันท์  คิรินทร์รัตนะ" u="1"/>
        <s v="ฌTR-25120042 มณฑป โรจนวิสุทธิ์" u="1"/>
        <s v="คุณมณฑป  โรจนวิสุทธิ์" u="1"/>
        <s v="ฌTR-25120043 อาทิตยา ภัทรบุญภักดิ์" u="1"/>
        <s v="คุณอาทิตยา  ภัทรบุญภักดิ์" u="1"/>
        <s v="ฌTR-25120039 คุณสมประสงค์  เชิดชู" u="1"/>
        <s v="คุณสมประสงค์   เชิดชู" u="1"/>
        <s v="สมปรารถนา คล้ายวิเชียร/ฌTR-25110026" u="1"/>
        <s v="ฌTR-25120070 คุณสมปรารถนา  คล้ายวิเชียร" u="1"/>
        <s v="ฌTR-25120030 คุณสมปรารถนา  คล้ายวิเชียร" u="1"/>
        <s v="คุณสมปรารถนา  คล้ายวิเชียร" u="1"/>
        <s v="ฌTR-25120086 ศศมน  พุทธสอน" u="1"/>
        <s v="คุณศศมน  พุทธสอน" u="1"/>
        <s v="ฌTR-25120036 ชุติมา บุญสูง" u="1"/>
        <s v="คุณชุติมา  บุญสูง" u="1"/>
        <s v="ฌTR-25120032 คุณทรงวุฒิ  พรมโท" u="1"/>
        <s v="คุณทรงวุฒิ  พรมโต" u="1"/>
        <s v="ฌTR-25120010 คุณนาฏนภา  เป้าปราณี" u="1"/>
        <s v="คุณนาฏนภา  เป้าปราณี" u="1"/>
        <s v="คุณศิริชัย  กาญจโนภาส" u="1"/>
        <s v="ฌTR-25120038 นิวัฒน์ จีรวงศ์สุนทร (ไม่มี Vat)" u="1"/>
        <s v="คุณนิวัฒน์   จีรวงศ์สุนทร" u="1"/>
        <s v="คุณวันชัย   แสงอมรสกุล" u="1"/>
        <s v="ฌTR-25120012 คุณวันชัย  อนุชาด" u="1"/>
        <s v="ฌTR-25120026 วันชัย อนุชาด" u="1"/>
        <s v="ฌTR-25120020 ธีรวุฒิ นิลเหลือง" u="1"/>
        <s v="คุณธีรวุฒิ  นิลเหลือง" u="1"/>
        <s v="ฌTR-25120019 ปาณิศรา ธนะชัยธิรดา" u="1"/>
        <s v="คุณปาณิศรา  ธนะชัยธิรดา" u="1"/>
        <s v="ฌTR-25120018 กษิรา บุญอินทร์" u="1"/>
        <s v="คุณกษิรา  บุญอินทร์" u="1"/>
        <s v="ฌTR-25120016 คุณธรรมธร  เกตุแก้ว" u="1"/>
        <s v="คุณธรรมธร  เกตุแก้ว" u="1"/>
        <s v="นารีรัตน์ คำภีระปาวงศ์/ITR-25110009" u="1"/>
        <s v="ฌTR-25120014 นารีรัตน์ คำภิระปาวงศ์" u="1"/>
        <s v="คุณนารีรัตน์  คำภิระปาวงศ์" u="1"/>
        <s v="ฌTR-25120012 คุณบุษกร  แป้นขาว" u="1"/>
        <s v="คุณบุษกร  แป้นขาว" u="1"/>
        <s v="ฌTR-25120011 ศุภกานต์ หลำนุ้ย" u="1"/>
        <s v="ฌTR-25120009 ยลดา อาหรับ" u="1"/>
        <s v="คุณยลดา   อาหรับ" u="1"/>
        <s v="ฌTR-25120008 รุ่งธรรม เหลืองรุ่งวสันต์" u="1"/>
        <s v="คุณรุ่งธรรม   เหลืองรุ่งวสันต์" u="1"/>
        <s v="อินทิรา  เฉลิมวงศ์" u="1"/>
        <s v="ฌTB-25120008 อินทิรา  เฉลิมวงศ์" u="1"/>
        <s v="ฌTR-25120007 ธนนดา พันธุ์ธนวิบูลย์" u="1"/>
        <s v="คุณธนนดา  พันธุ์ธนวิบูลย์" u="1"/>
        <s v="ฌTR-25110034 คุณสุดนารี  แซ่ลี้" u="1"/>
        <s v="คุณสุดนารี  แซ่ลี้" u="1"/>
        <s v="ITR-25110010/สุดารัตน์ เรืองศรี" u="1"/>
        <s v="ITR-25100038/บจก.สยาม ทัทสึ ชัน ฟู้ด" u="1"/>
        <s v="ITR-25100018 บจ.สุขสมบูรณ์2022" u="1"/>
        <s v="ITR-25100014 บจ.สุขสมบูรณ์2022" u="1"/>
        <s v="ITR-25100012/นันทรัตน์ ตุลยนิษก์" u="1"/>
        <s v="ITR-25100006/อวานห์ หว่าง หวู๊" u="1"/>
        <s v="ITR-25090028/นพธีรา คงสุวรรณ์" u="1"/>
        <s v="ITP-25120022 คุณสุดาทิพย์  ศรีสร้อย" u="1"/>
        <s v="ITR-25110012 ธัญวลัย ต่างประภา" u="1"/>
        <s v="คุณธัญวลัย  ต่างประภา" u="1"/>
        <s v=" ITR-25100010 คุณวาสนา  หมอกเจริญ" u="1"/>
        <s v="คุณวาสนา  หมอกเจริญ" u="1"/>
      </sharedItems>
    </cacheField>
    <cacheField name="วันที่" numFmtId="14">
      <sharedItems containsSemiMixedTypes="0" containsNonDate="0" containsDate="1" containsString="0" minDate="2568-09-26T00:00:00" maxDate="2569-01-01T00:00:00"/>
    </cacheField>
    <cacheField name="สมุด" numFmtId="0">
      <sharedItems/>
    </cacheField>
    <cacheField name="ใบสำคัญ" numFmtId="0">
      <sharedItems/>
    </cacheField>
    <cacheField name="คำอธิบายรายการ" numFmtId="0">
      <sharedItems/>
    </cacheField>
    <cacheField name="เดบิท" numFmtId="4">
      <sharedItems containsString="0" containsBlank="1" containsNumber="1" minValue="65.42" maxValue="134900"/>
    </cacheField>
    <cacheField name="เครดิต" numFmtId="4">
      <sharedItems containsString="0" containsBlank="1" containsNumber="1" minValue="65.42" maxValue="134900"/>
    </cacheField>
    <cacheField name="ยอดคงเหลือ1" numFmtId="4">
      <sharedItems containsSemiMixedTypes="0" containsString="0" containsNumber="1" minValue="-288149.59000000003" maxValue="-4672.8999999999996"/>
    </cacheField>
    <cacheField name="Amount" numFmtId="4">
      <sharedItems containsSemiMixedTypes="0" containsString="0" containsNumber="1" minValue="-134900" maxValue="134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1"/>
    <x v="0"/>
    <d v="2568-09-26T00:00:00"/>
    <s v="รับ"/>
    <s v="RVVM6809-003"/>
    <s v="ITR-25090028 นพธีรา คงสุวรรณ์"/>
    <m/>
    <n v="4672.8999999999996"/>
    <n v="-4672.8999999999996"/>
    <n v="-4672.8999999999996"/>
  </r>
  <r>
    <n v="2"/>
    <x v="1"/>
    <d v="2568-09-29T00:00:00"/>
    <s v="รับ"/>
    <s v="RVVM6809-004"/>
    <s v="ITR-25090032 ณัฐฐา อุดสาย"/>
    <m/>
    <n v="4672.8999999999996"/>
    <n v="-9345.7999999999993"/>
    <n v="-4672.8999999999996"/>
  </r>
  <r>
    <n v="3"/>
    <x v="2"/>
    <d v="2568-09-30T00:00:00"/>
    <s v="รับ"/>
    <s v="RVVM6809-005"/>
    <s v="ITR-25090035 เอนก ศรีชายวิวัฒนกุล"/>
    <m/>
    <n v="4672.8999999999996"/>
    <n v="-9345.7999999999993"/>
    <n v="-4672.8999999999996"/>
  </r>
  <r>
    <n v="4"/>
    <x v="3"/>
    <d v="2568-10-02T00:00:00"/>
    <s v="รับ"/>
    <s v="RVVM6810-001"/>
    <s v="ITR-25100001 มิตรชัย ประสิทธิ์"/>
    <m/>
    <n v="9345.7900000000009"/>
    <n v="-18691.59"/>
    <n v="-9345.7900000000009"/>
  </r>
  <r>
    <n v="5"/>
    <x v="4"/>
    <d v="2568-10-07T00:00:00"/>
    <s v="รับ"/>
    <s v="RVVM6810-002"/>
    <s v="ITR-25100006 อวานห์ หว่าง หวู๊"/>
    <m/>
    <n v="2803.74"/>
    <n v="-21495.33"/>
    <n v="-2803.74"/>
  </r>
  <r>
    <n v="6"/>
    <x v="5"/>
    <d v="2568-10-07T00:00:00"/>
    <s v="รับ"/>
    <s v="RVVM6810-002"/>
    <s v="ITR-25100007 บรรจง นิสภวาณิชย์"/>
    <m/>
    <n v="4672.8999999999996"/>
    <n v="-26168.23"/>
    <n v="-4672.8999999999996"/>
  </r>
  <r>
    <n v="7"/>
    <x v="6"/>
    <d v="2568-10-07T00:00:00"/>
    <s v="รับ"/>
    <s v="RVVM6810-002"/>
    <s v="ITR-25100008 กาญจน์ณัฎฐา กลิ่นสุคนธ์"/>
    <m/>
    <n v="1869.16"/>
    <n v="-28037.39"/>
    <n v="-1869.16"/>
  </r>
  <r>
    <n v="8"/>
    <x v="7"/>
    <d v="2568-10-07T00:00:00"/>
    <s v="รับ"/>
    <s v="RVVM6810-002"/>
    <s v="ITR-25100009 ปนิตา อินทรวงศ์"/>
    <m/>
    <n v="2803.74"/>
    <n v="-30841.13"/>
    <n v="-2803.74"/>
  </r>
  <r>
    <n v="9"/>
    <x v="3"/>
    <d v="2568-10-08T00:00:00"/>
    <s v="รับ"/>
    <s v="RVVM6810-003"/>
    <s v="ITR-25100001 มิตรชัย ประสิทธิ์"/>
    <n v="9345.7900000000009"/>
    <m/>
    <n v="-16822.439999999999"/>
    <n v="9345.7900000000009"/>
  </r>
  <r>
    <n v="10"/>
    <x v="8"/>
    <d v="2568-10-08T00:00:00"/>
    <s v="รับ"/>
    <s v="RVVM6810-003"/>
    <s v="ITR-25100010 วาสนา หมอกเจริญ"/>
    <m/>
    <n v="2803.74"/>
    <n v="-19626.18"/>
    <n v="-2803.74"/>
  </r>
  <r>
    <n v="11"/>
    <x v="9"/>
    <d v="2568-10-09T00:00:00"/>
    <s v="รับ"/>
    <s v="RVVM6810-004"/>
    <s v="ITR-25100012 นันทรัตน์ ตุลยนิษก์"/>
    <m/>
    <n v="4672.8999999999996"/>
    <n v="-24299.08"/>
    <n v="-4672.8999999999996"/>
  </r>
  <r>
    <n v="12"/>
    <x v="10"/>
    <d v="2568-10-09T00:00:00"/>
    <s v="รับ"/>
    <s v="RVVM6810-004"/>
    <s v="ITR-25100014 บจ.สุขสมบูรณ์ 2022"/>
    <m/>
    <n v="934.58"/>
    <n v="-25233.66"/>
    <n v="-934.58"/>
  </r>
  <r>
    <n v="13"/>
    <x v="2"/>
    <d v="2568-10-10T00:00:00"/>
    <s v="รับ"/>
    <s v="RVEM6810-002"/>
    <s v="ITR-25090035 เอนก ศรีชายวิวัฒนกุล"/>
    <n v="4672.8999999999996"/>
    <m/>
    <n v="-20560.759999999998"/>
    <n v="4672.8999999999996"/>
  </r>
  <r>
    <n v="14"/>
    <x v="1"/>
    <d v="2568-10-15T00:00:00"/>
    <s v="รับ"/>
    <s v="RVEM6810-004"/>
    <s v="ITR-25090032 ณัฐฐา อุดสาย"/>
    <n v="4672.8999999999996"/>
    <m/>
    <n v="-11214.96"/>
    <n v="4672.8999999999996"/>
  </r>
  <r>
    <n v="15"/>
    <x v="11"/>
    <d v="2568-10-15T00:00:00"/>
    <s v="รับ"/>
    <s v="RVVM6810-006"/>
    <s v="ITR-25100018 บจ.สุขสมบูรณ์ 2022"/>
    <m/>
    <n v="9345.7900000000009"/>
    <n v="-20560.75"/>
    <n v="-9345.7900000000009"/>
  </r>
  <r>
    <n v="16"/>
    <x v="12"/>
    <d v="2568-10-15T00:00:00"/>
    <s v="รับ"/>
    <s v="RVVM6810-006"/>
    <s v="ITR-25100019 เฉลิมเกียรติ อากาศสุภา"/>
    <m/>
    <n v="4672.8999999999996"/>
    <n v="-25233.65"/>
    <n v="-4672.8999999999996"/>
  </r>
  <r>
    <n v="17"/>
    <x v="13"/>
    <d v="2568-10-15T00:00:00"/>
    <s v="รับ"/>
    <s v="RVVM6810-006"/>
    <s v="ITR-25100020 อภิสิทธิ์ คำสี"/>
    <m/>
    <n v="2803.74"/>
    <n v="-28037.39"/>
    <n v="-2803.74"/>
  </r>
  <r>
    <n v="18"/>
    <x v="14"/>
    <d v="2568-10-17T00:00:00"/>
    <s v="รับ"/>
    <s v="RVVM6810-007"/>
    <s v="ITR-25100022 อิทธิพล น้อยเพชร"/>
    <m/>
    <n v="2803.74"/>
    <n v="-30841.13"/>
    <n v="-2803.74"/>
  </r>
  <r>
    <n v="19"/>
    <x v="7"/>
    <d v="2568-10-21T00:00:00"/>
    <s v="รับ"/>
    <s v="RVEM6810-006"/>
    <s v="ITR-25100009 ปนิตา อินทรวงศ์"/>
    <n v="2803.74"/>
    <m/>
    <n v="-28037.39"/>
    <n v="2803.74"/>
  </r>
  <r>
    <n v="20"/>
    <x v="15"/>
    <d v="2568-10-21T00:00:00"/>
    <s v="รับ"/>
    <s v="RVVM6810-008"/>
    <s v="ITR-25100023 ประยูร สัมฤทธิกุล"/>
    <m/>
    <n v="2803.74"/>
    <n v="-30841.13"/>
    <n v="-2803.74"/>
  </r>
  <r>
    <n v="21"/>
    <x v="16"/>
    <d v="2568-10-21T00:00:00"/>
    <s v="รับ"/>
    <s v="RVVM6810-008"/>
    <s v="ITR-25100025 วรายุกนิษฐ มณีอินทร์"/>
    <m/>
    <n v="32710.28"/>
    <n v="-63551.41"/>
    <n v="-32710.28"/>
  </r>
  <r>
    <n v="22"/>
    <x v="5"/>
    <d v="2568-10-22T00:00:00"/>
    <s v="รับ"/>
    <s v="RVVM6810-009"/>
    <s v="ITR-25100007 บรรจง นิสภวาณิชย์"/>
    <n v="4672.8999999999996"/>
    <m/>
    <n v="-58878.51"/>
    <n v="4672.8999999999996"/>
  </r>
  <r>
    <n v="23"/>
    <x v="11"/>
    <d v="2568-10-24T00:00:00"/>
    <s v="รับ"/>
    <s v="RVVM6810-010"/>
    <s v="ITR-25100018 บจ.สุขสมบูรณ์2022"/>
    <n v="9345.7900000000009"/>
    <m/>
    <n v="-49532.72"/>
    <n v="9345.7900000000009"/>
  </r>
  <r>
    <n v="24"/>
    <x v="17"/>
    <d v="2568-10-25T00:00:00"/>
    <s v="รับ"/>
    <s v="RVVM6810-011"/>
    <s v="ITR-25100030 MR.SIU YUEN POON"/>
    <m/>
    <n v="4672.8999999999996"/>
    <n v="-54205.62"/>
    <n v="-4672.8999999999996"/>
  </r>
  <r>
    <n v="25"/>
    <x v="9"/>
    <d v="2568-10-27T00:00:00"/>
    <s v="จ่าย"/>
    <s v="PV6810-009"/>
    <s v="ITR-25100012/นันทรัตน์ ตุลยนิษก์"/>
    <n v="4672.8999999999996"/>
    <m/>
    <n v="-49532.72"/>
    <n v="4672.8999999999996"/>
  </r>
  <r>
    <n v="26"/>
    <x v="0"/>
    <d v="2568-10-27T00:00:00"/>
    <s v="จ่าย"/>
    <s v="PV6810-009"/>
    <s v="ITR-25090028/นพธีรา คงสุวรรณ์"/>
    <n v="4672.8999999999996"/>
    <m/>
    <n v="-44859.82"/>
    <n v="4672.8999999999996"/>
  </r>
  <r>
    <n v="27"/>
    <x v="4"/>
    <d v="2568-10-27T00:00:00"/>
    <s v="จ่าย"/>
    <s v="PV6810-009"/>
    <s v="ITR-25100006/อวานห์ หว่าง หวู๊"/>
    <n v="2803.74"/>
    <m/>
    <n v="-42056.08"/>
    <n v="2803.74"/>
  </r>
  <r>
    <n v="28"/>
    <x v="12"/>
    <d v="2568-10-28T00:00:00"/>
    <s v="รับ"/>
    <s v="RVEM6810-007"/>
    <s v="ITR-25100019 เฉลิมเกียรติ อากาศสุภา"/>
    <n v="4672.8999999999996"/>
    <m/>
    <n v="-37383.18"/>
    <n v="4672.8999999999996"/>
  </r>
  <r>
    <n v="29"/>
    <x v="18"/>
    <d v="2568-10-28T00:00:00"/>
    <s v="รับ"/>
    <s v="RVVM6810-012"/>
    <s v="ITR-25100032 บจ.โคตรคาร์ ทรานสปอร์ต"/>
    <m/>
    <n v="56074.77"/>
    <n v="-93457.95"/>
    <n v="-56074.77"/>
  </r>
  <r>
    <n v="30"/>
    <x v="19"/>
    <d v="2568-10-29T00:00:00"/>
    <s v="รับ"/>
    <s v="RVVM6810-013"/>
    <s v="ITR-25100033 บจ.โคตรคาร์ ทรานสปอร์ต"/>
    <m/>
    <n v="4672.8999999999996"/>
    <n v="-98130.85"/>
    <n v="-4672.8999999999996"/>
  </r>
  <r>
    <n v="31"/>
    <x v="20"/>
    <d v="2568-10-29T00:00:00"/>
    <s v="รับ"/>
    <s v="RVVM6810-013"/>
    <s v="ITR-25100034 กัญญาภรณ์ พุทธเจริญลาภ"/>
    <m/>
    <n v="2803.74"/>
    <n v="-100934.59"/>
    <n v="-2803.74"/>
  </r>
  <r>
    <n v="32"/>
    <x v="21"/>
    <d v="2568-10-29T00:00:00"/>
    <s v="รับ"/>
    <s v="RVVM6810-013"/>
    <s v="ITR-25100035 ธัญมน กิราสุข"/>
    <m/>
    <n v="2803.74"/>
    <n v="-103738.33"/>
    <n v="-2803.74"/>
  </r>
  <r>
    <n v="33"/>
    <x v="22"/>
    <d v="2568-10-29T00:00:00"/>
    <s v="รับ"/>
    <s v="RVVM6810-013"/>
    <s v="ITR-25100038 บจ.สยาม ทัทสึ ชัน ฟู้ด"/>
    <m/>
    <n v="4672.8999999999996"/>
    <n v="-108411.23"/>
    <n v="-4672.8999999999996"/>
  </r>
  <r>
    <n v="34"/>
    <x v="23"/>
    <d v="2568-10-30T00:00:00"/>
    <s v="รับ"/>
    <s v="RVVM6810-014"/>
    <s v="ITR-25100039 MR.SIU YUEN POON"/>
    <m/>
    <n v="28037.38"/>
    <n v="-136448.60999999999"/>
    <n v="-28037.38"/>
  </r>
  <r>
    <n v="35"/>
    <x v="10"/>
    <d v="2568-10-31T00:00:00"/>
    <s v="รับ"/>
    <s v="RVEM6810-011"/>
    <s v="ITR-25100014 บจ.สุขสมบูรณ์2022"/>
    <n v="934.58"/>
    <m/>
    <n v="-135514.03"/>
    <n v="934.58"/>
  </r>
  <r>
    <n v="36"/>
    <x v="15"/>
    <d v="2568-10-31T00:00:00"/>
    <s v="รับ"/>
    <s v="RVVM6810-015"/>
    <s v="ITR-25100023 ประยูร สัมฤทธิกุล"/>
    <n v="2803.74"/>
    <m/>
    <n v="-132710.29"/>
    <n v="2803.74"/>
  </r>
  <r>
    <n v="37"/>
    <x v="24"/>
    <d v="2568-10-31T00:00:00"/>
    <s v="รับ"/>
    <s v="RVVM6810-015"/>
    <s v="ITR-25100040 กิตติวินท์ อัดตะนาท"/>
    <m/>
    <n v="1869.16"/>
    <n v="-134579.45000000001"/>
    <n v="-1869.16"/>
  </r>
  <r>
    <n v="38"/>
    <x v="19"/>
    <d v="2568-10-31T00:00:00"/>
    <s v="รับ"/>
    <s v="RVVM6810-015"/>
    <s v="ITR-25100033 บจ.โคตรคาร์ ทรานสปอร์ต"/>
    <n v="4672.8999999999996"/>
    <m/>
    <n v="-129906.55"/>
    <n v="4672.8999999999996"/>
  </r>
  <r>
    <n v="39"/>
    <x v="18"/>
    <d v="2568-10-31T00:00:00"/>
    <s v="รับ"/>
    <s v="RVVM6810-015"/>
    <s v="ITR-25100032 บจ.โคตรคาร์ ทรานสปอร์ต"/>
    <n v="56074.77"/>
    <m/>
    <n v="-73831.78"/>
    <n v="56074.77"/>
  </r>
  <r>
    <n v="40"/>
    <x v="25"/>
    <d v="2568-11-03T00:00:00"/>
    <s v="รับ"/>
    <s v="RVVM6811-001"/>
    <s v="RTR-25110001 วิภาภัทร วิภาวสุ"/>
    <m/>
    <n v="4672.8999999999996"/>
    <n v="-78504.679999999993"/>
    <n v="-4672.8999999999996"/>
  </r>
  <r>
    <n v="41"/>
    <x v="26"/>
    <d v="2568-11-03T00:00:00"/>
    <s v="รับ"/>
    <s v="RVVM6811-001"/>
    <s v="RTR-25110002 ปรเมษฐ์ วรเลิศโกศล"/>
    <m/>
    <n v="4672.8999999999996"/>
    <n v="-83177.58"/>
    <n v="-4672.8999999999996"/>
  </r>
  <r>
    <n v="42"/>
    <x v="27"/>
    <d v="2568-11-03T00:00:00"/>
    <s v="รับ"/>
    <s v="RVVM6811-001"/>
    <s v="RTR-25110003 บจ.โคตรคาร์ ทรานสปอร์ต"/>
    <m/>
    <n v="28037.38"/>
    <n v="-111214.96"/>
    <n v="-28037.38"/>
  </r>
  <r>
    <n v="43"/>
    <x v="28"/>
    <d v="2568-11-03T00:00:00"/>
    <s v="รับ"/>
    <s v="RVVM6811-001"/>
    <s v="RTR-25110004 ยงยุทธ มิตรแสงสุข"/>
    <m/>
    <n v="4672.8999999999996"/>
    <n v="-115887.86"/>
    <n v="-4672.8999999999996"/>
  </r>
  <r>
    <n v="44"/>
    <x v="29"/>
    <d v="2568-11-03T00:00:00"/>
    <s v="รับ"/>
    <s v="RVVM6811-001"/>
    <s v="RTR-25110005 สุภานี เงินคีรี"/>
    <m/>
    <n v="4672.8999999999996"/>
    <n v="-120560.76"/>
    <n v="-4672.8999999999996"/>
  </r>
  <r>
    <n v="45"/>
    <x v="30"/>
    <d v="2568-11-04T00:00:00"/>
    <s v="รับ"/>
    <s v="RVVM6811-002"/>
    <s v="ITR-25110009 นารีรัตน์ คำภิระปาวงศ์"/>
    <m/>
    <n v="4672.8999999999996"/>
    <n v="-125233.66"/>
    <n v="-4672.8999999999996"/>
  </r>
  <r>
    <n v="46"/>
    <x v="31"/>
    <d v="2568-11-04T00:00:00"/>
    <s v="รับ"/>
    <s v="RVVM6811-002"/>
    <s v="ITR-25110010 สุดารัตน์ เรืองศรี"/>
    <m/>
    <n v="2803.74"/>
    <n v="-128037.4"/>
    <n v="-2803.74"/>
  </r>
  <r>
    <n v="47"/>
    <x v="32"/>
    <d v="2568-11-04T00:00:00"/>
    <s v="รับ"/>
    <s v="RVVM6811-002"/>
    <s v="ITR-25110011 เรวัติ เชื้อแสง"/>
    <m/>
    <n v="4672.8999999999996"/>
    <n v="-132710.29999999999"/>
    <n v="-4672.8999999999996"/>
  </r>
  <r>
    <n v="48"/>
    <x v="33"/>
    <d v="2568-11-04T00:00:00"/>
    <s v="รับ"/>
    <s v="RVVM6811-002"/>
    <s v="ITR-25110012 ธัญวลัย ต่างประภา"/>
    <m/>
    <n v="4672.8999999999996"/>
    <n v="-137383.20000000001"/>
    <n v="-4672.8999999999996"/>
  </r>
  <r>
    <n v="49"/>
    <x v="34"/>
    <d v="2568-11-04T00:00:00"/>
    <s v="รับ"/>
    <s v="RVVM6811-002"/>
    <s v="ITR-25110014 ศรีนคร จันทะปัญญา"/>
    <m/>
    <n v="4672.8999999999996"/>
    <n v="-142056.1"/>
    <n v="-4672.8999999999996"/>
  </r>
  <r>
    <n v="50"/>
    <x v="35"/>
    <d v="2568-11-05T00:00:00"/>
    <s v="รับ"/>
    <s v="RVVM6811-003"/>
    <s v="ITR-25110016 สุดาทิพย์ ศรีสร้อย"/>
    <m/>
    <n v="934.58"/>
    <n v="-142990.68"/>
    <n v="-934.58"/>
  </r>
  <r>
    <n v="51"/>
    <x v="35"/>
    <d v="2568-12-30T00:00:00"/>
    <s v="รับ"/>
    <s v="SVAM6812-001"/>
    <s v="ITR-25110016 สุดาทิพย์ ศรีสร้อย"/>
    <m/>
    <n v="65.42"/>
    <n v="-142990.68"/>
    <n v="-65.42"/>
  </r>
  <r>
    <n v="52"/>
    <x v="36"/>
    <d v="2568-11-05T00:00:00"/>
    <s v="รับ"/>
    <s v="RVVM6811-003"/>
    <s v="ITR-25110017 เรวัติ เชื้อแสง"/>
    <m/>
    <n v="18691.59"/>
    <n v="-142990.68"/>
    <n v="-18691.59"/>
  </r>
  <r>
    <n v="53"/>
    <x v="16"/>
    <d v="2568-11-05T00:00:00"/>
    <s v="รับ"/>
    <s v="RVVM6811-003"/>
    <s v="ITR-25100025 วรายุกนิษฐ มณีอินทร์"/>
    <n v="32710.28"/>
    <m/>
    <n v="-142990.68"/>
    <n v="32710.28"/>
  </r>
  <r>
    <n v="54"/>
    <x v="27"/>
    <d v="2568-11-05T00:00:00"/>
    <s v="รับ"/>
    <s v="RVVM6811-003"/>
    <s v="RTR-25110003 บจ.โคตรคาร์ ทรานสปอร์ต"/>
    <n v="28037.38"/>
    <m/>
    <n v="-100934.61"/>
    <n v="28037.38"/>
  </r>
  <r>
    <n v="55"/>
    <x v="37"/>
    <d v="2568-11-06T00:00:00"/>
    <s v="รับ"/>
    <s v="RVVM6811-004"/>
    <s v="ฌTR-25110006 บจ.โคตรคาร์ ทรานสปอร์ต"/>
    <m/>
    <n v="28037.38"/>
    <n v="-128971.99"/>
    <n v="-28037.38"/>
  </r>
  <r>
    <n v="56"/>
    <x v="36"/>
    <d v="2568-11-07T00:00:00"/>
    <s v="รับ"/>
    <s v="RVVM6811-005"/>
    <s v="ITR-25110017 เรวัติ เชื้อแสง"/>
    <n v="18691.59"/>
    <m/>
    <n v="-110280.4"/>
    <n v="18691.59"/>
  </r>
  <r>
    <n v="57"/>
    <x v="32"/>
    <d v="2568-11-07T00:00:00"/>
    <s v="รับ"/>
    <s v="RVVM6811-005"/>
    <s v="ITR-25110011 เรวัติ เชื้อแสง"/>
    <n v="4672.8999999999996"/>
    <m/>
    <n v="-105607.5"/>
    <n v="4672.8999999999996"/>
  </r>
  <r>
    <n v="58"/>
    <x v="38"/>
    <d v="2568-11-07T00:00:00"/>
    <s v="รับ"/>
    <s v="RVVM6811-005"/>
    <s v="ฌTR-25110007 รสสุคนธ์ อัตตวิโรจนานนท์"/>
    <m/>
    <n v="2803.74"/>
    <n v="-108411.24"/>
    <n v="-2803.74"/>
  </r>
  <r>
    <n v="59"/>
    <x v="37"/>
    <d v="2568-11-08T00:00:00"/>
    <s v="รับ"/>
    <s v="RVVM6811-006"/>
    <s v="ฌTR-25110006 บจ.โคตรคาร์ ทรานสปอร์ต"/>
    <n v="28037.38"/>
    <m/>
    <n v="-80373.86"/>
    <n v="28037.38"/>
  </r>
  <r>
    <n v="60"/>
    <x v="39"/>
    <d v="2568-11-08T00:00:00"/>
    <s v="รับ"/>
    <s v="RVVM6811-006"/>
    <s v="ฌTR-25110008 ณภัสญาณ์ เลิศวรรธน์กุล"/>
    <m/>
    <n v="1869.16"/>
    <n v="-82243.02"/>
    <n v="-1869.16"/>
  </r>
  <r>
    <n v="61"/>
    <x v="40"/>
    <d v="2568-11-10T00:00:00"/>
    <s v="รับ"/>
    <s v="RVVM6811-007"/>
    <s v="ฌTR-25110009 ประภาพร ทิพย์โอสถ"/>
    <m/>
    <n v="2803.74"/>
    <n v="-85046.76"/>
    <n v="-2803.74"/>
  </r>
  <r>
    <n v="62"/>
    <x v="17"/>
    <d v="2568-11-10T00:00:00"/>
    <s v="รับ"/>
    <s v="RVVM6811-007"/>
    <s v="ITR-25100030 MR.SIU YUEN POON"/>
    <n v="4672.8999999999996"/>
    <m/>
    <n v="-80373.86"/>
    <n v="4672.8999999999996"/>
  </r>
  <r>
    <n v="63"/>
    <x v="23"/>
    <d v="2568-11-10T00:00:00"/>
    <s v="รับ"/>
    <s v="RVVM6811-007"/>
    <s v="ITR-25100039 MR.SIU YUEN POON"/>
    <n v="28037.38"/>
    <m/>
    <n v="-52336.480000000003"/>
    <n v="28037.38"/>
  </r>
  <r>
    <n v="64"/>
    <x v="41"/>
    <d v="2568-11-10T00:00:00"/>
    <s v="รับ"/>
    <s v="RVVM6811-007"/>
    <s v="ฌTR-25110010 พรหมนิพิฐ เหมือนรอดดี"/>
    <m/>
    <n v="28037.38"/>
    <n v="-80373.86"/>
    <n v="-28037.38"/>
  </r>
  <r>
    <n v="65"/>
    <x v="42"/>
    <d v="2568-11-10T00:00:00"/>
    <s v="รับ"/>
    <s v="RVVM6811-007"/>
    <s v="ฌTR-25110011 สุกฤษฎิ์ การชาตรี"/>
    <m/>
    <n v="4672.8999999999996"/>
    <n v="-85046.76"/>
    <n v="-4672.8999999999996"/>
  </r>
  <r>
    <n v="66"/>
    <x v="43"/>
    <d v="2568-11-10T00:00:00"/>
    <s v="รับ"/>
    <s v="RVVM6811-007"/>
    <s v="ฌTR-25110012 จิตตาภา ขุนทอง"/>
    <m/>
    <n v="2803.74"/>
    <n v="-87850.5"/>
    <n v="-2803.74"/>
  </r>
  <r>
    <n v="67"/>
    <x v="44"/>
    <d v="2568-11-10T00:00:00"/>
    <s v="รับ"/>
    <s v="RVVM6811-007"/>
    <s v="ฌTR-25110013 ชัชวาล ตระการประไพ"/>
    <m/>
    <n v="4672.8999999999996"/>
    <n v="-92523.4"/>
    <n v="-4672.8999999999996"/>
  </r>
  <r>
    <n v="68"/>
    <x v="45"/>
    <d v="2568-11-11T00:00:00"/>
    <s v="รับ"/>
    <s v="RVVM6811-008"/>
    <s v="ฌTR-25110014 บจ.โคตรคาร์ ทรานสปอร์ต"/>
    <m/>
    <n v="28037.38"/>
    <n v="-120560.78"/>
    <n v="-28037.38"/>
  </r>
  <r>
    <n v="69"/>
    <x v="45"/>
    <d v="2568-11-14T00:00:00"/>
    <s v="รับ"/>
    <s v="RVVM6811-009"/>
    <s v="ฌTR-25110014 บจ.โคตรคาร์ ทรานสปอร์ต"/>
    <n v="28037.38"/>
    <m/>
    <n v="-92523.4"/>
    <n v="28037.38"/>
  </r>
  <r>
    <n v="70"/>
    <x v="46"/>
    <d v="2568-11-15T00:00:00"/>
    <s v="รับ"/>
    <s v="RVVM6811-010"/>
    <s v="ฌTR-25110015 ศราวุธ โซะเฮง"/>
    <m/>
    <n v="2803.74"/>
    <n v="-95327.14"/>
    <n v="-2803.74"/>
  </r>
  <r>
    <n v="71"/>
    <x v="47"/>
    <d v="2568-11-15T00:00:00"/>
    <s v="รับ"/>
    <s v="RVVM6811-010"/>
    <s v="ฌTR-25110016 วิรุฬห์ มูซอ"/>
    <m/>
    <n v="4672.8999999999996"/>
    <n v="-100000.04"/>
    <n v="-4672.8999999999996"/>
  </r>
  <r>
    <n v="72"/>
    <x v="48"/>
    <d v="2568-11-15T00:00:00"/>
    <s v="รับ"/>
    <s v="RVVM6811-010"/>
    <s v="ฌTR-25110017 ศุภกร เจนกุลเจริญ"/>
    <m/>
    <n v="28037.38"/>
    <n v="-128037.42"/>
    <n v="-28037.38"/>
  </r>
  <r>
    <n v="73"/>
    <x v="49"/>
    <d v="2568-11-15T00:00:00"/>
    <s v="รับ"/>
    <s v="RVVM6811-010"/>
    <s v="ฌTR-25110018 กรกช อภิวงค์"/>
    <m/>
    <n v="2803.74"/>
    <n v="-130841.16"/>
    <n v="-2803.74"/>
  </r>
  <r>
    <n v="74"/>
    <x v="50"/>
    <d v="2568-11-15T00:00:00"/>
    <s v="รับ"/>
    <s v="RVVM6811-010"/>
    <s v="ฌTR-25110019 ณภัสญาณ์ เลิศวรรธน์กุล"/>
    <m/>
    <n v="9345.7900000000009"/>
    <n v="-140186.95000000001"/>
    <n v="-9345.7900000000009"/>
  </r>
  <r>
    <n v="75"/>
    <x v="20"/>
    <d v="2568-11-17T00:00:00"/>
    <s v="รับ"/>
    <s v="RVVM6811-011"/>
    <s v="ITR-25100034 กัญญาภรณ์ พุทธเจริญลาภ"/>
    <n v="2803.74"/>
    <m/>
    <n v="-137383.21"/>
    <n v="2803.74"/>
  </r>
  <r>
    <n v="76"/>
    <x v="51"/>
    <d v="2568-11-17T00:00:00"/>
    <s v="รับ"/>
    <s v="RVVM6811-011"/>
    <s v="ฌTR-25110020 ไอลดา ไชยศรี"/>
    <m/>
    <n v="4672.8999999999996"/>
    <n v="-142056.10999999999"/>
    <n v="-4672.8999999999996"/>
  </r>
  <r>
    <n v="77"/>
    <x v="52"/>
    <d v="2568-11-17T00:00:00"/>
    <s v="รับ"/>
    <s v="RVVM6811-011"/>
    <s v="ฌTR-25110021 ศรีนคร จันทะปัญญา"/>
    <m/>
    <n v="23364.49"/>
    <n v="-165420.6"/>
    <n v="-23364.49"/>
  </r>
  <r>
    <n v="78"/>
    <x v="53"/>
    <d v="2568-11-17T00:00:00"/>
    <s v="รับ"/>
    <s v="RVVM6811-011"/>
    <s v="ฌTR-25110022 พันธุ์รวี บุนนาค"/>
    <m/>
    <n v="2803.74"/>
    <n v="-168224.34"/>
    <n v="-2803.74"/>
  </r>
  <r>
    <n v="79"/>
    <x v="54"/>
    <d v="2568-11-18T00:00:00"/>
    <s v="รับ"/>
    <s v="RVVM6811-012"/>
    <s v="ฌTR-25110023 อัครวัฒน์ เดชานันท์เสถียร"/>
    <m/>
    <n v="2803.74"/>
    <n v="-171028.08"/>
    <n v="-2803.74"/>
  </r>
  <r>
    <n v="80"/>
    <x v="55"/>
    <d v="2568-11-18T00:00:00"/>
    <s v="รับ"/>
    <s v="RVVM6811-012"/>
    <s v="ฌTR-25110024 นัยน์ปพร จันดี"/>
    <m/>
    <n v="4672.8999999999996"/>
    <n v="-175700.98"/>
    <n v="-4672.8999999999996"/>
  </r>
  <r>
    <n v="81"/>
    <x v="21"/>
    <d v="2568-11-19T00:00:00"/>
    <s v="รับ"/>
    <s v="RVVM6811-013"/>
    <s v="ITR-25100035 ธัญมน กิราสุข"/>
    <n v="2803.74"/>
    <m/>
    <n v="-172897.24"/>
    <n v="2803.74"/>
  </r>
  <r>
    <n v="82"/>
    <x v="56"/>
    <d v="2568-11-19T00:00:00"/>
    <s v="รับ"/>
    <s v="RVVM6811-013"/>
    <s v="ฌTR-25110025 อินทิรา เฉลิมวงศ์"/>
    <m/>
    <n v="5607.48"/>
    <n v="-178504.72"/>
    <n v="-5607.48"/>
  </r>
  <r>
    <n v="83"/>
    <x v="57"/>
    <d v="2568-11-20T00:00:00"/>
    <s v="รับ"/>
    <s v="RVVM6811-014"/>
    <s v="ฌTR-25110026 สมปรารถนา คล้ายวิเชียร"/>
    <m/>
    <n v="2803.74"/>
    <n v="-181308.46"/>
    <n v="-2803.74"/>
  </r>
  <r>
    <n v="84"/>
    <x v="58"/>
    <d v="2568-11-22T00:00:00"/>
    <s v="รับ"/>
    <s v="RVVM6811-016"/>
    <s v="ฌTR-25110027 การันต์ บริรักษ์สัมพันธ์"/>
    <m/>
    <n v="4672.8999999999996"/>
    <n v="-185981.36"/>
    <n v="-4672.8999999999996"/>
  </r>
  <r>
    <n v="85"/>
    <x v="58"/>
    <d v="2568-11-24T00:00:00"/>
    <s v="รับ"/>
    <s v="RVVM6811-017"/>
    <s v="ฌTR-25110027 การันต์ บริรักษ์สัมพันธ์"/>
    <n v="4672.8999999999996"/>
    <m/>
    <n v="-181308.46"/>
    <n v="4672.8999999999996"/>
  </r>
  <r>
    <n v="86"/>
    <x v="52"/>
    <d v="2568-11-24T00:00:00"/>
    <s v="รับ"/>
    <s v="RVVM6811-017"/>
    <s v="ฌTR-25110021 ศรีนคร จันทะปัญญา"/>
    <n v="23364.49"/>
    <m/>
    <n v="-157943.97"/>
    <n v="23364.49"/>
  </r>
  <r>
    <n v="87"/>
    <x v="59"/>
    <d v="2568-11-24T00:00:00"/>
    <s v="รับ"/>
    <s v="RVVM6811-017"/>
    <s v="ฌTR-25110028 นพรัตน์ ศักดิ์ศิริ"/>
    <m/>
    <n v="4672.8999999999996"/>
    <n v="-162616.87"/>
    <n v="-4672.8999999999996"/>
  </r>
  <r>
    <n v="88"/>
    <x v="34"/>
    <d v="2568-11-24T00:00:00"/>
    <s v="รับ"/>
    <s v="RVVM6811-017"/>
    <s v="ITR-25110014 ศรีนคร จันทะปัญญา"/>
    <n v="4672.8999999999996"/>
    <m/>
    <n v="-157943.97"/>
    <n v="4672.8999999999996"/>
  </r>
  <r>
    <n v="89"/>
    <x v="60"/>
    <d v="2568-11-24T00:00:00"/>
    <s v="รับ"/>
    <s v="RVVM6811-017"/>
    <s v="ฌTR-25110029 ปุณยนุช ธรรมศิริ"/>
    <m/>
    <n v="4672.8999999999996"/>
    <n v="-162616.87"/>
    <n v="-4672.8999999999996"/>
  </r>
  <r>
    <n v="90"/>
    <x v="41"/>
    <d v="2568-11-24T00:00:00"/>
    <s v="รับ"/>
    <s v="RVVM6811-017"/>
    <s v="ฌTR-25110010 พรหมนิพิฐ เหมือนรอดดี"/>
    <n v="28037.38"/>
    <m/>
    <n v="-134579.49"/>
    <n v="28037.38"/>
  </r>
  <r>
    <n v="91"/>
    <x v="61"/>
    <d v="2568-11-24T00:00:00"/>
    <s v="รับ"/>
    <s v="RVVM6811-017"/>
    <s v="ฌTR-25110030 ชุมาพร นนท์ปฏิมากุล"/>
    <m/>
    <n v="2803.74"/>
    <n v="-137383.23000000001"/>
    <n v="-2803.74"/>
  </r>
  <r>
    <n v="92"/>
    <x v="62"/>
    <d v="2568-11-24T00:00:00"/>
    <s v="รับ"/>
    <s v="RVVM6811-017"/>
    <s v="ฌTR-25110031 กฤษณะ บุญศรี"/>
    <m/>
    <n v="4672.8999999999996"/>
    <n v="-142056.13"/>
    <n v="-4672.8999999999996"/>
  </r>
  <r>
    <n v="93"/>
    <x v="44"/>
    <d v="2568-11-26T00:00:00"/>
    <s v="รับ"/>
    <s v="RVEM6811-011"/>
    <s v="ฌTR-25110013 ชัชวาล ตระการประไพ"/>
    <n v="4672.8999999999996"/>
    <m/>
    <n v="-137383.23000000001"/>
    <n v="4672.8999999999996"/>
  </r>
  <r>
    <n v="94"/>
    <x v="55"/>
    <d v="2568-11-26T00:00:00"/>
    <s v="รับ"/>
    <s v="RVVM6811-018"/>
    <s v="ฌTR-25110024 นัยน์ปพร จันดี"/>
    <n v="4672.8999999999996"/>
    <m/>
    <n v="-132710.32999999999"/>
    <n v="4672.8999999999996"/>
  </r>
  <r>
    <n v="95"/>
    <x v="48"/>
    <d v="2568-11-27T00:00:00"/>
    <s v="รับ"/>
    <s v="RVVM6811-019"/>
    <s v="ฌTR-25110017 ศุภกร เจนกุลเจริญ"/>
    <n v="28037.38"/>
    <m/>
    <n v="-104672.95"/>
    <n v="28037.38"/>
  </r>
  <r>
    <n v="96"/>
    <x v="63"/>
    <d v="2568-11-27T00:00:00"/>
    <s v="รับ"/>
    <s v="RVVM6811-019"/>
    <s v="ฌTR-25110032 สุภาธินี อินทโสภา"/>
    <m/>
    <n v="2803.74"/>
    <n v="-107476.69"/>
    <n v="-2803.74"/>
  </r>
  <r>
    <n v="97"/>
    <x v="60"/>
    <d v="2568-11-27T00:00:00"/>
    <s v="รับ"/>
    <s v="RVVM6811-019"/>
    <s v="ฌTR-25110029 ปุณยนุช ธรรมศิริ"/>
    <n v="4672.8999999999996"/>
    <m/>
    <n v="-102803.79"/>
    <n v="4672.8999999999996"/>
  </r>
  <r>
    <n v="98"/>
    <x v="31"/>
    <d v="2568-11-28T00:00:00"/>
    <s v="จ่าย"/>
    <s v="PV6811-012"/>
    <s v="ITR-25110010/สุดารัตน์ เรืองศรี"/>
    <n v="2803.74"/>
    <m/>
    <n v="-100000.05"/>
    <n v="2803.74"/>
  </r>
  <r>
    <n v="99"/>
    <x v="22"/>
    <d v="2568-11-28T00:00:00"/>
    <s v="จ่าย"/>
    <s v="PV6811-012"/>
    <s v="ITR-25100038/บจก.สยาม ทัทสึ ชัน ฟู้ด"/>
    <n v="4672.8999999999996"/>
    <m/>
    <n v="-95327.15"/>
    <n v="4672.8999999999996"/>
  </r>
  <r>
    <n v="100"/>
    <x v="64"/>
    <d v="2568-11-28T00:00:00"/>
    <s v="รับ"/>
    <s v="RVVM6811-020"/>
    <s v="ฌTR-25110033 ธนกฤต ฤทธิ์ภักดีกุล"/>
    <m/>
    <n v="4672.8999999999996"/>
    <n v="-100000.05"/>
    <n v="-4672.8999999999996"/>
  </r>
  <r>
    <n v="101"/>
    <x v="65"/>
    <d v="2568-11-29T00:00:00"/>
    <s v="รับ"/>
    <s v="RVVM6811-021"/>
    <s v="ฌTR-25110034 สุดนารี แซ่ลี้"/>
    <m/>
    <n v="4672.8999999999996"/>
    <n v="-104672.95"/>
    <n v="-4672.8999999999996"/>
  </r>
  <r>
    <n v="102"/>
    <x v="66"/>
    <d v="2568-11-29T00:00:00"/>
    <s v="รับ"/>
    <s v="RVVM6811-021"/>
    <s v="ฌTR-25110035 กอบวิทย์ พิริยะวัฒน์"/>
    <m/>
    <n v="2803.74"/>
    <n v="-107476.69"/>
    <n v="-2803.74"/>
  </r>
  <r>
    <n v="103"/>
    <x v="67"/>
    <d v="2568-11-29T00:00:00"/>
    <s v="รับ"/>
    <s v="RVVM6811-021"/>
    <s v="ฌTR-25110036 พงศ์ภัค ตามแนวธรรม"/>
    <m/>
    <n v="4672.8999999999996"/>
    <n v="-112149.59"/>
    <n v="-4672.8999999999996"/>
  </r>
  <r>
    <n v="104"/>
    <x v="43"/>
    <d v="2568-12-01T00:00:00"/>
    <s v="รับ"/>
    <s v="RVVM6812-001"/>
    <s v="จิตตาภา ขุนทอง"/>
    <n v="3000"/>
    <m/>
    <n v="-109149.59"/>
    <n v="3000"/>
  </r>
  <r>
    <n v="105"/>
    <x v="64"/>
    <d v="2568-12-01T00:00:00"/>
    <s v="รับ"/>
    <s v="RVVM6812-001"/>
    <s v="ธนกฤต  ฤทธิ์ภักดีกุล"/>
    <n v="5000"/>
    <m/>
    <n v="-104149.59"/>
    <n v="5000"/>
  </r>
  <r>
    <n v="106"/>
    <x v="50"/>
    <d v="2568-12-01T00:00:00"/>
    <s v="รับ"/>
    <s v="RVVM6812-001"/>
    <s v="คุณณภัสญาณ์  เลิศวรรธน์กุล"/>
    <n v="10000"/>
    <m/>
    <n v="-94149.59"/>
    <n v="10000"/>
  </r>
  <r>
    <n v="107"/>
    <x v="39"/>
    <d v="2568-12-01T00:00:00"/>
    <s v="รับ"/>
    <s v="RVVM6812-001"/>
    <s v="คุณณภัสญาณ์  เลิศวรรธน์กุล"/>
    <n v="2000"/>
    <m/>
    <n v="-92149.59"/>
    <n v="2000"/>
  </r>
  <r>
    <n v="108"/>
    <x v="68"/>
    <d v="2568-12-02T00:00:00"/>
    <s v="รับ"/>
    <s v="RVVM6812-002"/>
    <s v="ฌTB-25120001 จิราภา โหมดวิจิตร"/>
    <m/>
    <n v="5000"/>
    <n v="-97149.59"/>
    <n v="-5000"/>
  </r>
  <r>
    <n v="109"/>
    <x v="69"/>
    <d v="2568-12-02T00:00:00"/>
    <s v="รับ"/>
    <s v="RVVM6812-002"/>
    <s v="ฌTB-25120008 อินทิรา  เฉลิมวงศ์"/>
    <m/>
    <n v="10000"/>
    <n v="-107149.59"/>
    <n v="-10000"/>
  </r>
  <r>
    <n v="110"/>
    <x v="70"/>
    <d v="2568-12-03T00:00:00"/>
    <s v="รับ"/>
    <s v="RVVM6812-003"/>
    <s v="TR-25120003 จินต์จุฑา อเนกสิทธิสิน"/>
    <m/>
    <n v="2000"/>
    <n v="-109149.59"/>
    <n v="-2000"/>
  </r>
  <r>
    <n v="111"/>
    <x v="71"/>
    <d v="2568-12-03T00:00:00"/>
    <s v="รับ"/>
    <s v="RVVM6812-003"/>
    <s v="TR-25120004 อมาวศรี ยิ่งธนพิบูลย์"/>
    <m/>
    <n v="5000"/>
    <n v="-114149.59"/>
    <n v="-5000"/>
  </r>
  <r>
    <n v="112"/>
    <x v="72"/>
    <d v="2568-12-03T00:00:00"/>
    <s v="รับ"/>
    <s v="RVVM6812-003"/>
    <s v="TR-25120005 อาภรณ์ อิสมาแอล"/>
    <m/>
    <n v="3000"/>
    <n v="-117149.59"/>
    <n v="-3000"/>
  </r>
  <r>
    <n v="113"/>
    <x v="73"/>
    <d v="2568-12-03T00:00:00"/>
    <s v="รับ"/>
    <s v="RVVM6812-003"/>
    <s v="TR-25120006 วรศักดิ์ หวานสนิท"/>
    <m/>
    <n v="2000"/>
    <n v="-119149.59"/>
    <n v="-2000"/>
  </r>
  <r>
    <n v="114"/>
    <x v="74"/>
    <d v="2568-12-04T00:00:00"/>
    <s v="รับ"/>
    <s v="RVVM6812-004"/>
    <s v="ฌTR-25120007 ธนนดา  พันธุ์ธนวิบูลย์"/>
    <m/>
    <n v="3000"/>
    <n v="-122149.59"/>
    <n v="-3000"/>
  </r>
  <r>
    <n v="115"/>
    <x v="75"/>
    <d v="2568-12-04T00:00:00"/>
    <s v="รับ"/>
    <s v="RVVM6812-004"/>
    <s v="ฌTR-25120008 รุ่งธรรม  เหลืองรุ่งวสันต์"/>
    <m/>
    <n v="3000"/>
    <n v="-125149.59"/>
    <n v="-3000"/>
  </r>
  <r>
    <n v="116"/>
    <x v="76"/>
    <d v="2568-12-04T00:00:00"/>
    <s v="รับ"/>
    <s v="RVVM6812-004"/>
    <s v="ฌTR-25120009 ยลดา  อาหรับ"/>
    <m/>
    <n v="1000"/>
    <n v="-126149.59"/>
    <n v="-1000"/>
  </r>
  <r>
    <n v="117"/>
    <x v="77"/>
    <d v="2568-12-04T00:00:00"/>
    <s v="รับ"/>
    <s v="RVVM6812-004"/>
    <s v="ฌTB-25120010 พรธัญภัทร  พูลธัญกิจ"/>
    <m/>
    <n v="3000"/>
    <n v="-129149.59"/>
    <n v="-3000"/>
  </r>
  <r>
    <n v="118"/>
    <x v="47"/>
    <d v="2568-12-04T00:00:00"/>
    <s v="รับ"/>
    <s v="RVVM6812-004"/>
    <s v="ฌTB-25120021 วิรุฬห์  มูซอ"/>
    <n v="5000"/>
    <m/>
    <n v="-124149.59"/>
    <n v="5000"/>
  </r>
  <r>
    <n v="119"/>
    <x v="56"/>
    <d v="2568-12-04T00:00:00"/>
    <s v="รับ"/>
    <s v="RVVM6812-004"/>
    <s v="อินทิรา  เฉลิมวงศ์"/>
    <n v="6000"/>
    <m/>
    <n v="-118149.59"/>
    <n v="6000"/>
  </r>
  <r>
    <n v="120"/>
    <x v="78"/>
    <d v="2568-12-05T00:00:00"/>
    <s v="รับ"/>
    <s v="RVVM6812-005"/>
    <s v="ฌTR-25120011 คุณศุภกานต์  หลำนุ้ย"/>
    <m/>
    <n v="4000"/>
    <n v="-122149.59"/>
    <n v="-4000"/>
  </r>
  <r>
    <n v="121"/>
    <x v="79"/>
    <d v="2568-12-05T00:00:00"/>
    <s v="รับ"/>
    <s v="RVVM6812-005"/>
    <s v="ฌTR-25120012 คุณณัฏฐา  ณ บางช้าง"/>
    <m/>
    <n v="134900"/>
    <n v="-257049.59"/>
    <n v="-134900"/>
  </r>
  <r>
    <n v="122"/>
    <x v="65"/>
    <d v="2568-12-06T00:00:00"/>
    <s v="รับ"/>
    <s v="RVVM6812-006"/>
    <s v="ฌTR-25110034 คุณสุดนารี  แซ่ลี้"/>
    <n v="5000"/>
    <m/>
    <n v="-252049.59"/>
    <n v="5000"/>
  </r>
  <r>
    <n v="123"/>
    <x v="79"/>
    <d v="2568-12-06T00:00:00"/>
    <s v="รับ"/>
    <s v="RVVM6812-006"/>
    <s v="ฌTR-25120012 คุณณัฏฐา  ณ บางช้าง"/>
    <n v="134900"/>
    <m/>
    <n v="-117149.59"/>
    <n v="134900"/>
  </r>
  <r>
    <n v="124"/>
    <x v="80"/>
    <d v="2568-12-06T00:00:00"/>
    <s v="รับ"/>
    <s v="RVVM6812-006"/>
    <s v="ฌTR-25120013 คุณลับผล  นิระปะกะ"/>
    <m/>
    <n v="3000"/>
    <n v="-120149.59"/>
    <n v="-3000"/>
  </r>
  <r>
    <n v="125"/>
    <x v="81"/>
    <d v="2568-12-06T00:00:00"/>
    <s v="รับ"/>
    <s v="RVVM6812-006"/>
    <s v="ฌTR-25120014 คุณนารีรัตน์  คำภิระปาวงศ์"/>
    <m/>
    <n v="1000"/>
    <n v="-121149.59"/>
    <n v="-1000"/>
  </r>
  <r>
    <n v="126"/>
    <x v="82"/>
    <d v="2568-12-06T00:00:00"/>
    <s v="รับ"/>
    <s v="RVVM6812-006"/>
    <s v="ฌTR-25120015 คุณสิริลภา  ปรางประสิทธิ์"/>
    <m/>
    <n v="3000"/>
    <n v="-124149.59"/>
    <n v="-3000"/>
  </r>
  <r>
    <n v="127"/>
    <x v="83"/>
    <d v="2568-12-08T00:00:00"/>
    <s v="รับ"/>
    <s v="RVVM6812-007"/>
    <s v="ฌTR-25120016 คุณณัฐวุฒิ  ทาตุ๊"/>
    <m/>
    <n v="3000"/>
    <n v="-127149.59"/>
    <n v="-3000"/>
  </r>
  <r>
    <n v="128"/>
    <x v="84"/>
    <d v="2568-12-08T00:00:00"/>
    <s v="รับ"/>
    <s v="RVVM6812-007"/>
    <s v="ฌTR-25120017 คุณธรรมธร  เกตุแก้ว"/>
    <m/>
    <n v="2000"/>
    <n v="-129149.59"/>
    <n v="-2000"/>
  </r>
  <r>
    <n v="129"/>
    <x v="83"/>
    <d v="2568-12-08T00:00:00"/>
    <s v="รับ"/>
    <s v="RVVM6812-007"/>
    <s v="ฌTR-25120016 คุณณัฐวุฒิ  ทาตุ๊"/>
    <n v="3000"/>
    <m/>
    <n v="-126149.59"/>
    <n v="3000"/>
  </r>
  <r>
    <n v="130"/>
    <x v="63"/>
    <d v="2568-12-09T00:00:00"/>
    <s v="รับ"/>
    <s v="RVEM6812-005"/>
    <s v="ฌTR-25110032 สุภาธินี อินทโสภา"/>
    <n v="3000"/>
    <m/>
    <n v="-123149.59"/>
    <n v="3000"/>
  </r>
  <r>
    <n v="131"/>
    <x v="85"/>
    <d v="2568-12-09T00:00:00"/>
    <s v="รับ"/>
    <s v="RVVM6812-008"/>
    <s v="ฌTR-25120018 คุณกษิรา  บุญอินทร์"/>
    <m/>
    <n v="3000"/>
    <n v="-126149.59"/>
    <n v="-3000"/>
  </r>
  <r>
    <n v="132"/>
    <x v="86"/>
    <d v="2568-12-09T00:00:00"/>
    <s v="รับ"/>
    <s v="RVVM6812-008"/>
    <s v="ฌTR-25120019 คุณปาณิศรา  ธนะชัยธิรดา"/>
    <m/>
    <n v="33000"/>
    <n v="-159149.59"/>
    <n v="-33000"/>
  </r>
  <r>
    <n v="133"/>
    <x v="87"/>
    <d v="2568-12-09T00:00:00"/>
    <s v="รับ"/>
    <s v="RVVM6812-008"/>
    <s v="ฌTR-25120020 คุณธีรวุฒิ  นิลเหลือง"/>
    <m/>
    <n v="3000"/>
    <n v="-162149.59"/>
    <n v="-3000"/>
  </r>
  <r>
    <n v="134"/>
    <x v="88"/>
    <d v="2568-12-09T00:00:00"/>
    <s v="รับ"/>
    <s v="RVVM6812-008"/>
    <s v="ฌTR-25120021 คุณกชกร  วัชราไทย"/>
    <m/>
    <n v="30000"/>
    <n v="-192149.59"/>
    <n v="-30000"/>
  </r>
  <r>
    <n v="135"/>
    <x v="89"/>
    <d v="2568-12-09T00:00:00"/>
    <s v="รับ"/>
    <s v="RVVM6812-008"/>
    <s v="ฌTR-25120022 คุณสิโรตม์  สิริวรนันท์"/>
    <m/>
    <n v="1000"/>
    <n v="-193149.59"/>
    <n v="-1000"/>
  </r>
  <r>
    <n v="136"/>
    <x v="90"/>
    <d v="2568-12-10T00:00:00"/>
    <s v="รับ"/>
    <s v="RVVM6812-009"/>
    <s v="ฌTR-25120012 คุณบุษกร  แป้นขาว"/>
    <m/>
    <n v="5000"/>
    <n v="-198149.59"/>
    <n v="-5000"/>
  </r>
  <r>
    <n v="137"/>
    <x v="8"/>
    <d v="2568-12-10T00:00:00"/>
    <s v="รับ"/>
    <s v="RVVM6812-009"/>
    <s v=" ITR-25100010 คุณวาสนา  หมอกเจริญ"/>
    <n v="3000"/>
    <m/>
    <n v="-195149.59"/>
    <n v="3000"/>
  </r>
  <r>
    <n v="138"/>
    <x v="35"/>
    <d v="2568-12-10T00:00:00"/>
    <s v="รับ"/>
    <s v="RVVM6812-009"/>
    <s v="ITP-25120022 คุณสุดาทิพย์  ศรีสร้อย"/>
    <n v="1000"/>
    <m/>
    <n v="-194149.59"/>
    <n v="1000"/>
  </r>
  <r>
    <n v="139"/>
    <x v="91"/>
    <d v="2568-12-11T00:00:00"/>
    <s v="รับ"/>
    <s v="RVVM6812-010"/>
    <s v="ฌTR-25120024 คุณจิรานุวัฒน์  ดอกไม้"/>
    <m/>
    <n v="3000"/>
    <n v="-197149.59"/>
    <n v="-3000"/>
  </r>
  <r>
    <n v="140"/>
    <x v="92"/>
    <d v="2568-12-11T00:00:00"/>
    <s v="รับ"/>
    <s v="RVVM6812-010"/>
    <s v="ฌTR-25120025 คุณนามกร  ธรรมสาโร"/>
    <m/>
    <n v="3000"/>
    <n v="-200149.59"/>
    <n v="-3000"/>
  </r>
  <r>
    <n v="141"/>
    <x v="93"/>
    <d v="2568-12-11T00:00:00"/>
    <s v="รับ"/>
    <s v="RVVM6812-010"/>
    <s v="ฌTR-25120026 คุณวันชัย  อนุชาด"/>
    <m/>
    <n v="10000"/>
    <n v="-210149.59"/>
    <n v="-10000"/>
  </r>
  <r>
    <n v="142"/>
    <x v="94"/>
    <d v="2568-12-11T00:00:00"/>
    <s v="รับ"/>
    <s v="RVVM6812-010"/>
    <s v="ฌTR-25120027 คุณพงศ์ภัค  ตามแนวธรรม"/>
    <m/>
    <n v="1000"/>
    <n v="-211149.59"/>
    <n v="-1000"/>
  </r>
  <r>
    <n v="143"/>
    <x v="95"/>
    <d v="2568-12-12T00:00:00"/>
    <s v="รับ"/>
    <s v="RVVM6812-011"/>
    <s v="ฌTR-25120028 คุณสิโรตม์  สิริวรนันท์"/>
    <m/>
    <n v="1000"/>
    <n v="-212149.59"/>
    <n v="-1000"/>
  </r>
  <r>
    <n v="144"/>
    <x v="96"/>
    <d v="2568-12-12T00:00:00"/>
    <s v="รับ"/>
    <s v="RVVM6812-011"/>
    <s v="ฌTR-25120029 คุณสุมณฑา  พรมวงค์"/>
    <m/>
    <n v="3000"/>
    <n v="-215149.59"/>
    <n v="-3000"/>
  </r>
  <r>
    <n v="145"/>
    <x v="97"/>
    <d v="2568-12-12T00:00:00"/>
    <s v="รับ"/>
    <s v="RVVM6812-011"/>
    <s v="ฌTR-25120030 คุณรัตนา  พรหมบุตร"/>
    <m/>
    <n v="5000"/>
    <n v="-220149.59"/>
    <n v="-5000"/>
  </r>
  <r>
    <n v="146"/>
    <x v="98"/>
    <d v="2568-12-12T00:00:00"/>
    <s v="รับ"/>
    <s v="RVVM6812-011"/>
    <s v="ฌTR-25120031 คุณสุกิจ  ฐานนำเกียรติ"/>
    <m/>
    <n v="3000"/>
    <n v="-223149.59"/>
    <n v="-3000"/>
  </r>
  <r>
    <n v="147"/>
    <x v="99"/>
    <d v="2568-12-12T00:00:00"/>
    <s v="รับ"/>
    <s v="RVVM6812-011"/>
    <s v="ฌTR-25120032 คุณนาฏนภา  เป้าปราณี"/>
    <m/>
    <n v="9900"/>
    <n v="-233049.59"/>
    <n v="-9900"/>
  </r>
  <r>
    <n v="148"/>
    <x v="100"/>
    <d v="2568-12-12T00:00:00"/>
    <s v="รับ"/>
    <s v="RVVM6812-011"/>
    <s v="ฌTR-25120033 คุณสายสมร  ศิริทรัพย์"/>
    <m/>
    <n v="3500"/>
    <n v="-236549.59"/>
    <n v="-3500"/>
  </r>
  <r>
    <n v="149"/>
    <x v="101"/>
    <d v="2568-12-12T00:00:00"/>
    <s v="รับ"/>
    <s v="RVVM6812-011"/>
    <s v="ฌTR-25120034 คุณสมประสงค์  เชิดชู"/>
    <m/>
    <n v="3000"/>
    <n v="-239549.59"/>
    <n v="-3000"/>
  </r>
  <r>
    <n v="150"/>
    <x v="99"/>
    <d v="2568-12-13T00:00:00"/>
    <s v="รับ"/>
    <s v="RVVM6812-012"/>
    <s v="ฌTR-25120010 คุณนาฏนภา  เป้าปราณี"/>
    <n v="9900"/>
    <m/>
    <n v="-229649.59"/>
    <n v="9900"/>
  </r>
  <r>
    <n v="151"/>
    <x v="102"/>
    <d v="2568-12-13T00:00:00"/>
    <s v="รับ"/>
    <s v="RVVM6812-012"/>
    <s v="ฌTR-25120086 ศศมน  พุทธสอน"/>
    <m/>
    <n v="5000"/>
    <n v="-234649.59"/>
    <n v="-5000"/>
  </r>
  <r>
    <n v="152"/>
    <x v="103"/>
    <d v="2568-12-15T00:00:00"/>
    <s v="รับ"/>
    <s v="RVVM6812-013"/>
    <s v="ฌTR-25120036 คุณชุติมา  บุญสูง"/>
    <m/>
    <n v="2000"/>
    <n v="-236649.59"/>
    <n v="-2000"/>
  </r>
  <r>
    <n v="153"/>
    <x v="104"/>
    <d v="2568-12-15T00:00:00"/>
    <s v="รับ"/>
    <s v="RVVM6812-013"/>
    <s v="ฌTR-25120037 คุณศศินันท์  คิรินทร์รัตนะ"/>
    <m/>
    <n v="10000"/>
    <n v="-246649.59"/>
    <n v="-10000"/>
  </r>
  <r>
    <n v="154"/>
    <x v="105"/>
    <d v="2568-12-15T00:00:00"/>
    <s v="รับ"/>
    <s v="RVVM6812-013"/>
    <s v="ฌTR-25120038 คุณนิวัฒน์  จีรวงศ์สุนทร"/>
    <m/>
    <n v="30000"/>
    <n v="-276649.59000000003"/>
    <n v="-30000"/>
  </r>
  <r>
    <n v="155"/>
    <x v="106"/>
    <d v="2568-12-15T00:00:00"/>
    <s v="รับ"/>
    <s v="RVVM6812-013"/>
    <s v="ฌTR-25120039 คุณสิริรัตน์  ตรงต่อศักดิ์"/>
    <m/>
    <n v="3000"/>
    <n v="-279649.59000000003"/>
    <n v="-3000"/>
  </r>
  <r>
    <n v="156"/>
    <x v="107"/>
    <d v="2568-12-15T00:00:00"/>
    <s v="รับ"/>
    <s v="RVVM6812-013"/>
    <s v="ฌTR-25120040 คุณนิธิรุจน์  พรธัญประสิทธิ์"/>
    <m/>
    <n v="5000"/>
    <n v="-284649.59000000003"/>
    <n v="-5000"/>
  </r>
  <r>
    <n v="157"/>
    <x v="101"/>
    <d v="2568-12-15T00:00:00"/>
    <s v="รับ"/>
    <s v="RVVM6812-013"/>
    <s v="ฌTR-25120039 คุณสมประสงค์  เชิดชู"/>
    <n v="3000"/>
    <m/>
    <n v="-281649.59000000003"/>
    <n v="3000"/>
  </r>
  <r>
    <n v="158"/>
    <x v="59"/>
    <d v="2568-12-16T00:00:00"/>
    <s v="รับ"/>
    <s v="RVEM6812-012"/>
    <s v="ฌTR-25110028 นพรัตน์ ศักดิ์ศิริ"/>
    <n v="5000"/>
    <m/>
    <n v="-276649.59000000003"/>
    <n v="5000"/>
  </r>
  <r>
    <n v="159"/>
    <x v="51"/>
    <d v="2568-12-16T00:00:00"/>
    <s v="รับ"/>
    <s v="RVEM6812-014"/>
    <s v="ฌTR-25110020 ไอลดา ไชยศรี"/>
    <n v="5000"/>
    <m/>
    <n v="-271649.59000000003"/>
    <n v="5000"/>
  </r>
  <r>
    <n v="160"/>
    <x v="87"/>
    <d v="2568-12-16T00:00:00"/>
    <s v="รับ"/>
    <s v="RVEM6812-015"/>
    <s v="ฌTR-25120020 ธีรวุฒิ นิลเหลือง"/>
    <n v="3000"/>
    <m/>
    <n v="-268649.59000000003"/>
    <n v="3000"/>
  </r>
  <r>
    <n v="161"/>
    <x v="93"/>
    <d v="2568-12-16T00:00:00"/>
    <s v="รับ"/>
    <s v="RVVM6812-014"/>
    <s v="ฌTR-25120041 คุณวันชัย  อนุชาด"/>
    <m/>
    <n v="3500"/>
    <n v="-272149.59000000003"/>
    <n v="-3500"/>
  </r>
  <r>
    <n v="162"/>
    <x v="108"/>
    <d v="2568-12-16T00:00:00"/>
    <s v="รับ"/>
    <s v="RVVM6812-014"/>
    <s v="ฌTR-25120042 คุณมณฑป  โรจนวิสุทธิ์"/>
    <m/>
    <n v="3000"/>
    <n v="-275149.59000000003"/>
    <n v="-3000"/>
  </r>
  <r>
    <n v="163"/>
    <x v="109"/>
    <d v="2568-12-16T00:00:00"/>
    <s v="รับ"/>
    <s v="RVVM6812-014"/>
    <s v="ฌTR-25120043 คุณอาทิตยา  ภัทรบุญภักดิ์"/>
    <m/>
    <n v="1000"/>
    <n v="-276149.59000000003"/>
    <n v="-1000"/>
  </r>
  <r>
    <n v="164"/>
    <x v="110"/>
    <d v="2568-12-16T00:00:00"/>
    <s v="รับ"/>
    <s v="RVVM6812-014"/>
    <s v="ฌTR-25120044 คุณคมกฤษณ์  วังตระกูล"/>
    <m/>
    <n v="3000"/>
    <n v="-279149.59000000003"/>
    <n v="-3000"/>
  </r>
  <r>
    <n v="165"/>
    <x v="111"/>
    <d v="2568-12-16T00:00:00"/>
    <s v="รับ"/>
    <s v="RVVM6812-014"/>
    <s v="ฌTR-25120045 คุณปรเมศวร์  เอี่ยมเต็ง"/>
    <m/>
    <n v="3000"/>
    <n v="-282149.59000000003"/>
    <n v="-3000"/>
  </r>
  <r>
    <n v="166"/>
    <x v="112"/>
    <d v="2568-12-17T00:00:00"/>
    <s v="รับ"/>
    <s v="RVVM6812-015"/>
    <s v="ฌTR-25120046 คุณสุกัลย์  เหลืองพรนุวัฒน์"/>
    <m/>
    <n v="3000"/>
    <n v="-285149.59000000003"/>
    <n v="-3000"/>
  </r>
  <r>
    <n v="167"/>
    <x v="113"/>
    <d v="2568-12-17T00:00:00"/>
    <s v="รับ"/>
    <s v="RVVM6812-015"/>
    <s v="ฌTR-25120047 คุณอนาคิน  ธนรุ่งปัญญาสิทธิ์"/>
    <m/>
    <n v="3000"/>
    <n v="-288149.59000000003"/>
    <n v="-3000"/>
  </r>
  <r>
    <n v="168"/>
    <x v="93"/>
    <d v="2568-12-17T00:00:00"/>
    <s v="รับ"/>
    <s v="RVVM6812-015"/>
    <s v="ฌTR-25120012 คุณวันชัย  อนุชาด"/>
    <n v="3500"/>
    <m/>
    <n v="-284649.59000000003"/>
    <n v="3500"/>
  </r>
  <r>
    <n v="169"/>
    <x v="104"/>
    <d v="2568-12-17T00:00:00"/>
    <s v="รับ"/>
    <s v="RVVM6812-015"/>
    <s v="ฌTR-25120013 คุณศศินันท์  คิรินทร์รัตนะ"/>
    <n v="10000"/>
    <m/>
    <n v="-274649.59000000003"/>
    <n v="10000"/>
  </r>
  <r>
    <n v="170"/>
    <x v="105"/>
    <d v="2568-12-18T00:00:00"/>
    <s v="รับ"/>
    <s v="RVEM6812-018"/>
    <s v="ฌTR-25120038 นิวัฒน์ จีรวงศ์สุนทร (ไม่มี Vat)"/>
    <n v="28037.38"/>
    <m/>
    <n v="-246612.21"/>
    <n v="28037.38"/>
  </r>
  <r>
    <n v="171"/>
    <x v="76"/>
    <d v="2568-12-18T00:00:00"/>
    <s v="รับ"/>
    <s v="RVEM6812-019"/>
    <s v="ฌTR-25120009 ยลดา อาหรับ"/>
    <n v="1000"/>
    <m/>
    <n v="-245612.21"/>
    <n v="1000"/>
  </r>
  <r>
    <n v="172"/>
    <x v="114"/>
    <d v="2568-12-18T00:00:00"/>
    <s v="รับ"/>
    <s v="RVVM6812-016"/>
    <s v="ฌTR-25120048 คุณนิรัตน์  สุวรรณวิชัย"/>
    <m/>
    <n v="3000"/>
    <n v="-248612.21"/>
    <n v="-3000"/>
  </r>
  <r>
    <n v="173"/>
    <x v="84"/>
    <d v="2568-12-18T00:00:00"/>
    <s v="รับ"/>
    <s v="RVVM6812-016"/>
    <s v="ฌTR-25120016 คุณธรรมธร  เกตุแก้ว"/>
    <n v="2000"/>
    <m/>
    <n v="-246612.21"/>
    <n v="2000"/>
  </r>
  <r>
    <n v="174"/>
    <x v="94"/>
    <d v="2568-12-18T00:00:00"/>
    <s v="รับ"/>
    <s v="RVVM6812-016"/>
    <s v="ฌTR-25120015 คุณณัฐพร  แปงวัน"/>
    <n v="1000"/>
    <m/>
    <n v="-245612.21"/>
    <n v="1000"/>
  </r>
  <r>
    <n v="175"/>
    <x v="67"/>
    <d v="2568-12-18T00:00:00"/>
    <s v="รับ"/>
    <s v="RVVM6812-016"/>
    <s v="ฌTR-25120014 คุณณัฐพร  แปงวัน"/>
    <n v="5000"/>
    <m/>
    <n v="-240612.21"/>
    <n v="5000"/>
  </r>
  <r>
    <n v="176"/>
    <x v="115"/>
    <d v="2568-12-19T00:00:00"/>
    <s v="รับ"/>
    <s v="RVEM6812-020"/>
    <s v="ฌTR-25120050 กัญญา อินทะมา (ไม่มี Vat)"/>
    <n v="30841.119999999999"/>
    <m/>
    <n v="-209771.09"/>
    <n v="30841.119999999999"/>
  </r>
  <r>
    <n v="177"/>
    <x v="116"/>
    <d v="2568-12-19T00:00:00"/>
    <s v="รับ"/>
    <s v="RVEM6812-021"/>
    <s v="ฌTR-25120052 นวกชมณ บุญรอดรักษุ์ (ไม่มี Vat)"/>
    <n v="2803.74"/>
    <m/>
    <n v="-206967.35"/>
    <n v="2803.74"/>
  </r>
  <r>
    <n v="178"/>
    <x v="54"/>
    <d v="2568-12-19T00:00:00"/>
    <s v="รับ"/>
    <s v="RVEM6812-022"/>
    <s v="ฌTR-25110023 อัครวัฒน์ เดชานันท์เสถียร"/>
    <n v="3000"/>
    <m/>
    <n v="-203967.35"/>
    <n v="3000"/>
  </r>
  <r>
    <n v="179"/>
    <x v="103"/>
    <d v="2568-12-19T00:00:00"/>
    <s v="รับ"/>
    <s v="RVEM6812-023"/>
    <s v="ฌTR-25120036 ชุติมา บุญสูง"/>
    <n v="2000"/>
    <m/>
    <n v="-201967.35"/>
    <n v="2000"/>
  </r>
  <r>
    <n v="180"/>
    <x v="69"/>
    <d v="2568-12-19T00:00:00"/>
    <s v="รับ"/>
    <s v="RVEM6812-024"/>
    <s v="ฌTR-25120002 อินทิรา เฉลิมวงศ์"/>
    <n v="10000"/>
    <m/>
    <n v="-191967.35"/>
    <n v="10000"/>
  </r>
  <r>
    <n v="181"/>
    <x v="78"/>
    <d v="2568-12-19T00:00:00"/>
    <s v="รับ"/>
    <s v="RVEM6812-025"/>
    <s v="ฌTR-25120011 ศุภกานต์ หลำนุ้ย"/>
    <n v="4000"/>
    <m/>
    <n v="-187967.35"/>
    <n v="4000"/>
  </r>
  <r>
    <n v="182"/>
    <x v="117"/>
    <d v="2568-12-19T00:00:00"/>
    <s v="รับ"/>
    <s v="RVVM6812-017"/>
    <s v="ฌTR-25120049 คุณทรงวุฒิ  พรมโต"/>
    <m/>
    <n v="10000"/>
    <n v="-197967.35"/>
    <n v="-10000"/>
  </r>
  <r>
    <n v="183"/>
    <x v="115"/>
    <d v="2568-12-19T00:00:00"/>
    <s v="รับ"/>
    <s v="RVVM6812-017"/>
    <s v="ฌTR-25120050 คุณกัญญา  อินทะมา"/>
    <m/>
    <n v="33000"/>
    <n v="-230967.35"/>
    <n v="-33000"/>
  </r>
  <r>
    <n v="184"/>
    <x v="118"/>
    <d v="2568-12-19T00:00:00"/>
    <s v="รับ"/>
    <s v="RVVM6812-017"/>
    <s v="ฌTR-25120051 คุณณัฐพงษ์  กองชัยมงคล"/>
    <m/>
    <n v="13000"/>
    <n v="-243967.35"/>
    <n v="-13000"/>
  </r>
  <r>
    <n v="185"/>
    <x v="116"/>
    <d v="2568-12-19T00:00:00"/>
    <s v="รับ"/>
    <s v="RVVM6812-017"/>
    <s v="ฌTR-25120052 คุณนวกชมณ  บุญรอดรักษุ์"/>
    <m/>
    <n v="3000"/>
    <n v="-246967.35"/>
    <n v="-3000"/>
  </r>
  <r>
    <n v="186"/>
    <x v="119"/>
    <d v="2568-12-19T00:00:00"/>
    <s v="รับ"/>
    <s v="RVVM6812-017"/>
    <s v="ฌTR-25120053 คุณศศิกา  คูเจริญศิลป์"/>
    <m/>
    <n v="5000"/>
    <n v="-251967.35"/>
    <n v="-5000"/>
  </r>
  <r>
    <n v="187"/>
    <x v="120"/>
    <d v="2568-12-19T00:00:00"/>
    <s v="รับ"/>
    <s v="RVVM6812-017"/>
    <s v="ฌTR-25120054 คุณสุรีย์พร  จอมประเสริฐกุล"/>
    <m/>
    <n v="3000"/>
    <n v="-254967.35"/>
    <n v="-3000"/>
  </r>
  <r>
    <n v="188"/>
    <x v="121"/>
    <d v="2568-12-19T00:00:00"/>
    <s v="รับ"/>
    <s v="RVVM6812-017"/>
    <s v="ฌTR-25120055 คุณสิริกร  กรกิตติกุลภักดี"/>
    <m/>
    <n v="1000"/>
    <n v="-255967.35"/>
    <n v="-1000"/>
  </r>
  <r>
    <n v="189"/>
    <x v="122"/>
    <d v="2568-12-19T00:00:00"/>
    <s v="รับ"/>
    <s v="RVVM6812-017"/>
    <s v="ฌTR-25120056 คุณวิญญู  หนูเรขา"/>
    <m/>
    <n v="1000"/>
    <n v="-256967.35"/>
    <n v="-1000"/>
  </r>
  <r>
    <n v="190"/>
    <x v="123"/>
    <d v="2568-12-19T00:00:00"/>
    <s v="รับ"/>
    <s v="RVVM6812-017"/>
    <s v="ฌTR-25120058 คุณรินทร์ลภัส  ปิจดี"/>
    <m/>
    <n v="3000"/>
    <n v="-259967.35"/>
    <n v="-3000"/>
  </r>
  <r>
    <n v="191"/>
    <x v="124"/>
    <d v="2568-12-19T00:00:00"/>
    <s v="รับ"/>
    <s v="RVVM6812-017"/>
    <s v="ฌTR-25120057 คุณจันทร  สังข์สุวรรณ"/>
    <m/>
    <n v="1000"/>
    <n v="-260967.35"/>
    <n v="-1000"/>
  </r>
  <r>
    <n v="192"/>
    <x v="26"/>
    <d v="2568-12-20T00:00:00"/>
    <s v="จ่าย"/>
    <s v="PV6812-005"/>
    <s v="ปรเมษฐ์ วรเลิศโกศล/RTR-25110002"/>
    <n v="4672.8999999999996"/>
    <m/>
    <n v="-256294.45"/>
    <n v="4672.8999999999996"/>
  </r>
  <r>
    <n v="193"/>
    <x v="29"/>
    <d v="2568-12-20T00:00:00"/>
    <s v="จ่าย"/>
    <s v="PV6812-005"/>
    <s v="สุภานี เงินคีรี/RTR-25110005"/>
    <n v="4672.8999999999996"/>
    <m/>
    <n v="-251621.55"/>
    <n v="4672.8999999999996"/>
  </r>
  <r>
    <n v="194"/>
    <x v="25"/>
    <d v="2568-12-20T00:00:00"/>
    <s v="จ่าย"/>
    <s v="PV6812-005"/>
    <s v="วิภาภัทร วิภาวสุ/RTR-25110001"/>
    <n v="4672.8999999999996"/>
    <m/>
    <n v="-246948.65"/>
    <n v="4672.8999999999996"/>
  </r>
  <r>
    <n v="195"/>
    <x v="24"/>
    <d v="2568-12-20T00:00:00"/>
    <s v="จ่าย"/>
    <s v="PV6812-005"/>
    <s v="กิตติวินท์ อัตตะนาท/ITR-25100040"/>
    <n v="1869.16"/>
    <m/>
    <n v="-245079.49"/>
    <n v="1869.16"/>
  </r>
  <r>
    <n v="196"/>
    <x v="30"/>
    <d v="2568-12-20T00:00:00"/>
    <s v="จ่าย"/>
    <s v="PV6812-005"/>
    <s v="นารีรัตน์ คำภีระปาวงศ์/ITR-25110009"/>
    <n v="4672.8999999999996"/>
    <m/>
    <n v="-240406.59"/>
    <n v="4672.8999999999996"/>
  </r>
  <r>
    <n v="197"/>
    <x v="14"/>
    <d v="2568-12-20T00:00:00"/>
    <s v="จ่าย"/>
    <s v="PV6812-005"/>
    <s v="อิทธิพล น้อยเพชร/ITR-25100022"/>
    <n v="2803.74"/>
    <m/>
    <n v="-237602.85"/>
    <n v="2803.74"/>
  </r>
  <r>
    <n v="198"/>
    <x v="57"/>
    <d v="2568-12-20T00:00:00"/>
    <s v="จ่าย"/>
    <s v="PV6812-005"/>
    <s v="สมปรารถนา คล้ายวิเชียร/ฌTR-25110026"/>
    <n v="2803.74"/>
    <m/>
    <n v="-234799.11"/>
    <n v="2803.74"/>
  </r>
  <r>
    <n v="199"/>
    <x v="49"/>
    <d v="2568-12-20T00:00:00"/>
    <s v="จ่าย"/>
    <s v="PV6812-005"/>
    <s v="กรกช อภิวงศ์/ฌTR-25110018"/>
    <n v="2803.74"/>
    <m/>
    <n v="-231995.37"/>
    <n v="2803.74"/>
  </r>
  <r>
    <n v="200"/>
    <x v="40"/>
    <d v="2568-12-20T00:00:00"/>
    <s v="จ่าย"/>
    <s v="PV6812-005"/>
    <s v="ประภาพร ทิพย์โอสภ/ฌTR-25110009"/>
    <n v="2803.74"/>
    <m/>
    <n v="-229191.63"/>
    <n v="2803.74"/>
  </r>
  <r>
    <n v="201"/>
    <x v="46"/>
    <d v="2568-12-20T00:00:00"/>
    <s v="จ่าย"/>
    <s v="PV6812-005"/>
    <s v="ศราวุธ โซะเฮง/ฌTR-25110015"/>
    <n v="2803.74"/>
    <m/>
    <n v="-226387.89"/>
    <n v="2803.74"/>
  </r>
  <r>
    <n v="202"/>
    <x v="42"/>
    <d v="2568-12-20T00:00:00"/>
    <s v="จ่าย"/>
    <s v="PV6812-005"/>
    <s v="สุกฤษฎิ์ การชาตรี/ฌTR-25110011"/>
    <n v="4672.8999999999996"/>
    <m/>
    <n v="-221714.99"/>
    <n v="4672.8999999999996"/>
  </r>
  <r>
    <n v="203"/>
    <x v="28"/>
    <d v="2568-12-20T00:00:00"/>
    <s v="จ่าย"/>
    <s v="PV6812-005"/>
    <s v="ยงยุทธ มิตรแสงสุข/ฌTR-25110004"/>
    <n v="4672.8999999999996"/>
    <m/>
    <n v="-217042.09"/>
    <n v="4672.8999999999996"/>
  </r>
  <r>
    <n v="204"/>
    <x v="125"/>
    <d v="2568-12-20T00:00:00"/>
    <s v="รับ"/>
    <s v="RVVM6812-018"/>
    <s v="ฌTR-25120059 คุณพิทยารัตน์  มูลจันดา"/>
    <m/>
    <n v="20000"/>
    <n v="-237042.09"/>
    <n v="-20000"/>
  </r>
  <r>
    <n v="205"/>
    <x v="126"/>
    <d v="2568-12-20T00:00:00"/>
    <s v="รับ"/>
    <s v="RVVM6812-018"/>
    <s v="ฌTR-25120060 คุณวีราภรณ์  สีตะสิทธิ์"/>
    <m/>
    <n v="10000"/>
    <n v="-247042.09"/>
    <n v="-10000"/>
  </r>
  <r>
    <n v="206"/>
    <x v="127"/>
    <d v="2568-12-20T00:00:00"/>
    <s v="รับ"/>
    <s v="RVVM6812-018"/>
    <s v="ฌTR-25120061 คุณกนกวรรณ  หาญณรงค์"/>
    <m/>
    <n v="1000"/>
    <n v="-248042.09"/>
    <n v="-1000"/>
  </r>
  <r>
    <n v="207"/>
    <x v="128"/>
    <d v="2568-12-20T00:00:00"/>
    <s v="รับ"/>
    <s v="RVVM6812-018"/>
    <s v="ฌTR-25120062 คุณปิยชาติ  กิจธร"/>
    <m/>
    <n v="3000"/>
    <n v="-251042.09"/>
    <n v="-3000"/>
  </r>
  <r>
    <n v="208"/>
    <x v="129"/>
    <d v="2568-12-20T00:00:00"/>
    <s v="รับ"/>
    <s v="RVVM6812-018"/>
    <s v="ฌTR-25120063 คุณวรัสชญาน์  ไพศาลกนกวัชร์"/>
    <m/>
    <n v="10000"/>
    <n v="-261042.09"/>
    <n v="-10000"/>
  </r>
  <r>
    <n v="209"/>
    <x v="130"/>
    <d v="2568-12-20T00:00:00"/>
    <s v="รับ"/>
    <s v="RVVM6812-018"/>
    <s v="ฌTR-25120064 คุณนิธินาฏ  ชินะนาวิน"/>
    <m/>
    <n v="1000"/>
    <n v="-262042.09"/>
    <n v="-1000"/>
  </r>
  <r>
    <n v="210"/>
    <x v="131"/>
    <d v="2568-12-20T00:00:00"/>
    <s v="รับ"/>
    <s v="RVVM6812-018"/>
    <s v="ฌTR-25120065 คุณพงษ์ชัย  เตียวรัตนกุล"/>
    <m/>
    <n v="3000"/>
    <n v="-265042.09000000003"/>
    <n v="-3000"/>
  </r>
  <r>
    <n v="211"/>
    <x v="132"/>
    <d v="2568-12-20T00:00:00"/>
    <s v="รับ"/>
    <s v="RVVM6812-018"/>
    <s v="ฌTR-25120066 คุณพวงเพชร  ศรีสุพล"/>
    <m/>
    <n v="1000"/>
    <n v="-266042.09000000003"/>
    <n v="-1000"/>
  </r>
  <r>
    <n v="212"/>
    <x v="133"/>
    <d v="2568-12-22T00:00:00"/>
    <s v="รับ"/>
    <s v="RVEM6812-027"/>
    <s v="ฌTR-25120068 ภควัต ส่งคุณฤทธิการ"/>
    <n v="4672.8999999999996"/>
    <m/>
    <n v="-261369.19"/>
    <n v="4672.8999999999996"/>
  </r>
  <r>
    <n v="213"/>
    <x v="108"/>
    <d v="2568-12-22T00:00:00"/>
    <s v="รับ"/>
    <s v="RVEM6812-029"/>
    <s v="ฌTR-25120042 มณฑป โรจนวิสุทธิ์"/>
    <n v="3000"/>
    <m/>
    <n v="-258369.19"/>
    <n v="3000"/>
  </r>
  <r>
    <n v="214"/>
    <x v="114"/>
    <d v="2568-12-22T00:00:00"/>
    <s v="รับ"/>
    <s v="RVEM6812-030"/>
    <s v="ฌTR-25120048 นิรัตน์ สุวรรณวิชัย"/>
    <n v="3000"/>
    <m/>
    <n v="-255369.19"/>
    <n v="3000"/>
  </r>
  <r>
    <n v="215"/>
    <x v="111"/>
    <d v="2568-12-22T00:00:00"/>
    <s v="รับ"/>
    <s v="RVEM6812-031"/>
    <s v="ฌTR-25120045 ปรเมศวร์ เอี่ยมเต็ง"/>
    <n v="3000"/>
    <m/>
    <n v="-252369.19"/>
    <n v="3000"/>
  </r>
  <r>
    <n v="216"/>
    <x v="85"/>
    <d v="2568-12-22T00:00:00"/>
    <s v="รับ"/>
    <s v="RVEM6812-032"/>
    <s v="ฌTR-25120018 กษิรา บุญอินทร์"/>
    <n v="3000"/>
    <m/>
    <n v="-249369.19"/>
    <n v="3000"/>
  </r>
  <r>
    <n v="217"/>
    <x v="61"/>
    <d v="2568-12-22T00:00:00"/>
    <s v="รับ"/>
    <s v="RVVM6812-019"/>
    <s v="ฌTR-25120067 คุณชุมาพร  นนท์ปฎิมากุล"/>
    <m/>
    <n v="3000"/>
    <n v="-252369.19"/>
    <n v="-3000"/>
  </r>
  <r>
    <n v="218"/>
    <x v="133"/>
    <d v="2568-12-22T00:00:00"/>
    <s v="รับ"/>
    <s v="RVVM6812-019"/>
    <s v="ฌTR-25120068 คุณภควัต  ส่งคุณฤทธิการ"/>
    <m/>
    <n v="5000"/>
    <n v="-257369.19"/>
    <n v="-5000"/>
  </r>
  <r>
    <n v="219"/>
    <x v="125"/>
    <d v="2568-12-22T00:00:00"/>
    <s v="รับ"/>
    <s v="RVVM6812-019"/>
    <s v="ฌTR-25120026 คุณพิทยารัตน์  มูลจันดา"/>
    <n v="20000"/>
    <m/>
    <n v="-237369.19"/>
    <n v="20000"/>
  </r>
  <r>
    <n v="220"/>
    <x v="90"/>
    <d v="2568-12-23T00:00:00"/>
    <s v="รับ"/>
    <s v="RVEM6812-034"/>
    <s v="ฌTR-25120023 บุษกร แป้นขาว"/>
    <n v="5000"/>
    <m/>
    <n v="-232369.19"/>
    <n v="5000"/>
  </r>
  <r>
    <n v="221"/>
    <x v="134"/>
    <d v="2568-12-23T00:00:00"/>
    <s v="รับ"/>
    <s v="RVVM6812-020"/>
    <s v="ฌTR-25120069 คุณจริยา  พิมละมาด"/>
    <m/>
    <n v="3000"/>
    <n v="-235369.19"/>
    <n v="-3000"/>
  </r>
  <r>
    <n v="222"/>
    <x v="57"/>
    <d v="2568-12-23T00:00:00"/>
    <s v="รับ"/>
    <s v="RVVM6812-020"/>
    <s v="ฌTR-25120070 คุณสมปรารถนา  คล้ายวิเชียร"/>
    <m/>
    <n v="3000"/>
    <n v="-238369.19"/>
    <n v="-3000"/>
  </r>
  <r>
    <n v="223"/>
    <x v="33"/>
    <d v="2568-12-23T00:00:00"/>
    <s v="รับ"/>
    <s v="RVVM6812-020"/>
    <s v="ITB-25110018 คุณธัญวลัย  ต่างประภา"/>
    <n v="5000"/>
    <m/>
    <n v="-233369.19"/>
    <n v="5000"/>
  </r>
  <r>
    <n v="224"/>
    <x v="86"/>
    <d v="2568-12-24T00:00:00"/>
    <s v="รับ"/>
    <s v="RVEM6812-036"/>
    <s v="ฌTR-25120019 ปาณิศรา ธนะชัยธิรดา"/>
    <n v="33000"/>
    <m/>
    <n v="-200369.19"/>
    <n v="33000"/>
  </r>
  <r>
    <n v="225"/>
    <x v="109"/>
    <d v="2568-12-24T00:00:00"/>
    <s v="รับ"/>
    <s v="RVEM6812-037"/>
    <s v="ฌTR-25120043 อาทิตยา ภัทรบุญภักดิ์"/>
    <n v="1000"/>
    <m/>
    <n v="-199369.19"/>
    <n v="1000"/>
  </r>
  <r>
    <n v="226"/>
    <x v="75"/>
    <d v="2568-12-24T00:00:00"/>
    <s v="รับ"/>
    <s v="RVEM6812-038"/>
    <s v="ฌTR-25120008 รุ่งธรรม เหลืองรุ่งวสันต์"/>
    <n v="3000"/>
    <m/>
    <n v="-196369.19"/>
    <n v="3000"/>
  </r>
  <r>
    <n v="227"/>
    <x v="135"/>
    <d v="2568-12-24T00:00:00"/>
    <s v="รับ"/>
    <s v="RVVM6812-021"/>
    <s v="ฌTR-25120071 คุณภาคิณ  ประเสริฐจิต"/>
    <m/>
    <n v="5000"/>
    <n v="-201369.19"/>
    <n v="-5000"/>
  </r>
  <r>
    <n v="228"/>
    <x v="136"/>
    <d v="2568-12-24T00:00:00"/>
    <s v="รับ"/>
    <s v="RVVM6812-021"/>
    <s v="ฌTR-25120072 คุณจิดาภา  อริยพฤกษ์"/>
    <m/>
    <n v="3000"/>
    <n v="-204369.19"/>
    <n v="-3000"/>
  </r>
  <r>
    <n v="229"/>
    <x v="137"/>
    <d v="2568-12-24T00:00:00"/>
    <s v="รับ"/>
    <s v="RVVM6812-021"/>
    <s v="ฌTR-25120073 คุณณัฐพล  จรัสสุขสวัสดิ์"/>
    <m/>
    <n v="1000"/>
    <n v="-205369.19"/>
    <n v="-1000"/>
  </r>
  <r>
    <n v="230"/>
    <x v="138"/>
    <d v="2568-12-24T00:00:00"/>
    <s v="รับ"/>
    <s v="RVVM6812-021"/>
    <s v="ฌTR-25120074 คุณนันท์นภัส  สาโรวาท"/>
    <m/>
    <n v="3000"/>
    <n v="-208369.19"/>
    <n v="-3000"/>
  </r>
  <r>
    <n v="231"/>
    <x v="139"/>
    <d v="2568-12-24T00:00:00"/>
    <s v="รับ"/>
    <s v="RVVM6812-021"/>
    <s v="ฌTR-25120275 คุณศุภัสวิชญ์  เชื้อไตรสรณ์"/>
    <m/>
    <n v="1000"/>
    <n v="-209369.19"/>
    <n v="-1000"/>
  </r>
  <r>
    <n v="232"/>
    <x v="140"/>
    <d v="2568-12-24T00:00:00"/>
    <s v="รับ"/>
    <s v="RVVM6812-021"/>
    <s v="ฌTR-25120276 คุณวชิรญาณ์  ศรีแก้วเฒ่า"/>
    <m/>
    <n v="1000"/>
    <n v="-210369.19"/>
    <n v="-1000"/>
  </r>
  <r>
    <n v="233"/>
    <x v="141"/>
    <d v="2568-12-24T00:00:00"/>
    <s v="รับ"/>
    <s v="RVVM6812-021"/>
    <s v="ฌTR-25120077 คุณอัษฏางค์  ชวนะเกาศัลย์"/>
    <m/>
    <n v="2000"/>
    <n v="-212369.19"/>
    <n v="-2000"/>
  </r>
  <r>
    <n v="234"/>
    <x v="142"/>
    <d v="2568-12-24T00:00:00"/>
    <s v="รับ"/>
    <s v="RVVM6812-021"/>
    <s v="ฌTR-25120078 คุณวันชัย  แสงอมรสกุล"/>
    <m/>
    <n v="3000"/>
    <n v="-215369.19"/>
    <n v="-3000"/>
  </r>
  <r>
    <n v="235"/>
    <x v="143"/>
    <d v="2568-12-24T00:00:00"/>
    <s v="รับ"/>
    <s v="RVVM6812-021"/>
    <s v="ฌTR-25120079 คุณไชยา  เริงเกษตรกรณ์"/>
    <m/>
    <n v="2000"/>
    <n v="-217369.19"/>
    <n v="-2000"/>
  </r>
  <r>
    <n v="236"/>
    <x v="144"/>
    <d v="2568-12-24T00:00:00"/>
    <s v="รับ"/>
    <s v="RVVM6812-021"/>
    <s v="ฌTR-25120080 คุณจิรวรรณ   เสนาดี"/>
    <m/>
    <n v="1000"/>
    <n v="-218369.19"/>
    <n v="-1000"/>
  </r>
  <r>
    <n v="237"/>
    <x v="145"/>
    <d v="2568-12-24T00:00:00"/>
    <s v="รับ"/>
    <s v="RVVM6812-021"/>
    <s v="ฌTR-25120081 คุณพิทยาภรณ์  ตั้งศิริไพบูลย์"/>
    <m/>
    <n v="3000"/>
    <n v="-221369.19"/>
    <n v="-3000"/>
  </r>
  <r>
    <n v="238"/>
    <x v="146"/>
    <d v="2568-12-24T00:00:00"/>
    <s v="รับ"/>
    <s v="RVVM6812-021"/>
    <s v="ฌTR-25120082 คุณกนกอร  บุญเพ็ง"/>
    <m/>
    <n v="3000"/>
    <n v="-224369.19"/>
    <n v="-3000"/>
  </r>
  <r>
    <n v="239"/>
    <x v="147"/>
    <d v="2568-12-24T00:00:00"/>
    <s v="รับ"/>
    <s v="RVVM6812-021"/>
    <s v="ฌTR-25120083 บริษัทอินเตอร์ ชัยพัฒนาพลาสติค  จำกัด"/>
    <m/>
    <n v="10000"/>
    <n v="-234369.19"/>
    <n v="-10000"/>
  </r>
  <r>
    <n v="240"/>
    <x v="148"/>
    <d v="2568-12-24T00:00:00"/>
    <s v="รับ"/>
    <s v="RVVM6812-021"/>
    <s v="ฌTR-25120084 คุณวรัชญ์  กล้าแข็ง"/>
    <m/>
    <n v="3000"/>
    <n v="-237369.19"/>
    <n v="-3000"/>
  </r>
  <r>
    <n v="241"/>
    <x v="61"/>
    <d v="2568-12-24T00:00:00"/>
    <s v="รับ"/>
    <s v="RVVM6812-021"/>
    <s v="ฌTR-25110030 คุณชุมาพร  นนท์ปฎิมากุล"/>
    <n v="3000"/>
    <m/>
    <n v="-234369.19"/>
    <n v="3000"/>
  </r>
  <r>
    <n v="242"/>
    <x v="137"/>
    <d v="2568-12-25T00:00:00"/>
    <s v="รับ"/>
    <s v="RVVM6812-022"/>
    <s v="ฌTR-25120028 คุณณัฐพล  จรัสสุขสวัสดิ์"/>
    <n v="1000"/>
    <m/>
    <n v="-233369.19"/>
    <n v="1000"/>
  </r>
  <r>
    <n v="243"/>
    <x v="68"/>
    <d v="2568-12-25T00:00:00"/>
    <s v="รับ"/>
    <s v="RVVM6812-022"/>
    <s v="ฌTR-25120029 คุณจิราภา  โหมดวิจิตร"/>
    <n v="5000"/>
    <m/>
    <n v="-228369.19"/>
    <n v="5000"/>
  </r>
  <r>
    <n v="244"/>
    <x v="57"/>
    <d v="2568-12-25T00:00:00"/>
    <s v="รับ"/>
    <s v="RVVM6812-022"/>
    <s v="ฌTR-25120030 คุณสมปรารถนา  คล้ายวิเชียร"/>
    <n v="3000"/>
    <m/>
    <n v="-225369.19"/>
    <n v="3000"/>
  </r>
  <r>
    <n v="245"/>
    <x v="149"/>
    <d v="2568-12-25T00:00:00"/>
    <s v="รับ"/>
    <s v="RVVM6812-022"/>
    <s v="ฌTR-25120085 คุณธีระพงษ์  ตันสิทธิพันธ์"/>
    <m/>
    <n v="3000"/>
    <n v="-228369.19"/>
    <n v="-3000"/>
  </r>
  <r>
    <n v="246"/>
    <x v="150"/>
    <d v="2568-12-25T00:00:00"/>
    <s v="รับ"/>
    <s v="RVVM6812-022"/>
    <s v="ฌTR-25120086 คุณนวลอนงค์  เตชะรุจิเศรษฐ"/>
    <m/>
    <n v="2000"/>
    <n v="-230369.19"/>
    <n v="-2000"/>
  </r>
  <r>
    <n v="247"/>
    <x v="151"/>
    <d v="2568-12-25T00:00:00"/>
    <s v="รับ"/>
    <s v="RVVM6812-022"/>
    <s v="ฌTR-25120087 คุณนัฐพงษ์  พลประถม"/>
    <m/>
    <n v="5000"/>
    <n v="-235369.19"/>
    <n v="-5000"/>
  </r>
  <r>
    <n v="248"/>
    <x v="152"/>
    <d v="2568-12-25T00:00:00"/>
    <s v="รับ"/>
    <s v="RVVM6812-022"/>
    <s v="ฌTR-25120088 คุณอภิชาติ  ทองคำชุม"/>
    <m/>
    <n v="2000"/>
    <n v="-237369.19"/>
    <n v="-2000"/>
  </r>
  <r>
    <n v="249"/>
    <x v="153"/>
    <d v="2568-12-25T00:00:00"/>
    <s v="รับ"/>
    <s v="RVVM6812-022"/>
    <s v="ฌTR-25120089 คุณสุชญา  เกไทสง"/>
    <m/>
    <n v="2000"/>
    <n v="-239369.19"/>
    <n v="-2000"/>
  </r>
  <r>
    <n v="250"/>
    <x v="154"/>
    <d v="2568-12-25T00:00:00"/>
    <s v="รับ"/>
    <s v="RVVM6812-022"/>
    <s v="ฌTR-25120090 คุณชุติมณฑน์   สีหนาท"/>
    <m/>
    <n v="2000"/>
    <n v="-241369.19"/>
    <n v="-2000"/>
  </r>
  <r>
    <n v="251"/>
    <x v="155"/>
    <d v="2568-12-25T00:00:00"/>
    <s v="รับ"/>
    <s v="RVVM6812-022"/>
    <s v="ฌTR-25120091 คุณอภิวัฒน์  ติดใจดี"/>
    <m/>
    <n v="3000"/>
    <n v="-244369.19"/>
    <n v="-3000"/>
  </r>
  <r>
    <n v="252"/>
    <x v="156"/>
    <d v="2568-12-25T00:00:00"/>
    <s v="รับ"/>
    <s v="RVVM6812-022"/>
    <s v="ฌTR-25120092 บริษัทเฟิร์ส เอ็นจิเนียริ่ง แอนด์ โซล"/>
    <m/>
    <n v="2000"/>
    <n v="-246369.19"/>
    <n v="-2000"/>
  </r>
  <r>
    <n v="253"/>
    <x v="112"/>
    <d v="2568-12-26T00:00:00"/>
    <s v="รับ"/>
    <s v="RVEM6812-039"/>
    <s v="ฌTR-25120046 สุกัลย์ เหลืองพรนุวัฒน์"/>
    <n v="3000"/>
    <m/>
    <n v="-243369.19"/>
    <n v="3000"/>
  </r>
  <r>
    <n v="254"/>
    <x v="113"/>
    <d v="2568-12-26T00:00:00"/>
    <s v="รับ"/>
    <s v="RVEM6812-040"/>
    <s v="ฌTR-25120047 อนาคิน ธนรุ่งปัญญาสิทธิ์"/>
    <n v="3000"/>
    <m/>
    <n v="-240369.19"/>
    <n v="3000"/>
  </r>
  <r>
    <n v="255"/>
    <x v="134"/>
    <d v="2568-12-26T00:00:00"/>
    <s v="รับ"/>
    <s v="RVVM6812-023"/>
    <s v="ฌTR-25120080 คุณจริยา  พิมละมาด"/>
    <n v="3000"/>
    <m/>
    <n v="-237369.19"/>
    <n v="3000"/>
  </r>
  <r>
    <n v="256"/>
    <x v="157"/>
    <d v="2568-12-26T00:00:00"/>
    <s v="รับ"/>
    <s v="RVVM6812-023"/>
    <s v="ฌTR-25120093 คุณธัญญ์รวี  แสงหิรัญเดชาฉัตร์"/>
    <m/>
    <n v="3000"/>
    <n v="-240369.19"/>
    <n v="-3000"/>
  </r>
  <r>
    <n v="257"/>
    <x v="158"/>
    <d v="2568-12-26T00:00:00"/>
    <s v="รับ"/>
    <s v="RVVM6812-023"/>
    <s v="ฌTR-25120094 คุณสุรจิต  เมธีวิทยา"/>
    <m/>
    <n v="5000"/>
    <n v="-245369.19"/>
    <n v="-5000"/>
  </r>
  <r>
    <n v="258"/>
    <x v="159"/>
    <d v="2568-12-26T00:00:00"/>
    <s v="รับ"/>
    <s v="RVVM6812-023"/>
    <s v="ฌTR-25120095 คุณชัยชาญ  นวลศรี"/>
    <m/>
    <n v="3000"/>
    <n v="-248369.19"/>
    <n v="-3000"/>
  </r>
  <r>
    <n v="259"/>
    <x v="160"/>
    <d v="2568-12-26T00:00:00"/>
    <s v="รับ"/>
    <s v="RVVM6812-023"/>
    <s v="ฌTR-25120095 คุณศิริชัย  กาญจโนภาส"/>
    <m/>
    <n v="3000"/>
    <n v="-251369.19"/>
    <n v="-3000"/>
  </r>
  <r>
    <n v="260"/>
    <x v="161"/>
    <d v="2568-12-27T00:00:00"/>
    <s v="รับ"/>
    <s v="RVVM6812-024"/>
    <s v="ฌTR-25120097 คุณศิโรรัตน์  สัจจะวัฒนวิมล"/>
    <m/>
    <n v="3000"/>
    <n v="-254369.19"/>
    <n v="-3000"/>
  </r>
  <r>
    <n v="261"/>
    <x v="162"/>
    <d v="2568-12-27T00:00:00"/>
    <s v="รับ"/>
    <s v="RVVM6812-024"/>
    <s v="ฌTR-25120098  คุณชาติชาย  วรพิพัฒน์"/>
    <m/>
    <n v="2000"/>
    <n v="-256369.19"/>
    <n v="-2000"/>
  </r>
  <r>
    <n v="262"/>
    <x v="102"/>
    <d v="2568-12-29T00:00:00"/>
    <s v="รับ"/>
    <s v="RVEM6812-043"/>
    <s v="ฌTR-25120035 ศศมน พุทธสอน"/>
    <n v="5000"/>
    <m/>
    <n v="-251369.19"/>
    <n v="5000"/>
  </r>
  <r>
    <n v="263"/>
    <x v="74"/>
    <d v="2568-12-29T00:00:00"/>
    <s v="รับ"/>
    <s v="RVEM6812-045"/>
    <s v="ฌTR-25120007 ธนนดา พันธุ์ธนวิบูลย์"/>
    <n v="3000"/>
    <m/>
    <n v="-248369.19"/>
    <n v="3000"/>
  </r>
  <r>
    <n v="264"/>
    <x v="93"/>
    <d v="2568-12-29T00:00:00"/>
    <s v="รับ"/>
    <s v="RVEM6812-046"/>
    <s v="ฌTR-25120026 วันชัย อนุชาด"/>
    <n v="10000"/>
    <m/>
    <n v="-238369.19"/>
    <n v="10000"/>
  </r>
  <r>
    <n v="265"/>
    <x v="124"/>
    <d v="2568-12-30T00:00:00"/>
    <s v="รับ"/>
    <s v="RVEM6812-048"/>
    <s v="ฌTR-25120057 จันทร สังข์สุวรรณ"/>
    <n v="1000"/>
    <m/>
    <n v="-237369.19"/>
    <n v="1000"/>
  </r>
  <r>
    <n v="266"/>
    <x v="61"/>
    <d v="2568-12-30T00:00:00"/>
    <s v="รับ"/>
    <s v="RVEM6812-049"/>
    <s v="ฌTR-25110030 ชุมาพร นนท์ปฏิมากุล"/>
    <n v="3000"/>
    <m/>
    <n v="-234369.19"/>
    <n v="3000"/>
  </r>
  <r>
    <n v="267"/>
    <x v="138"/>
    <d v="2568-12-30T00:00:00"/>
    <s v="รับ"/>
    <s v="RVEM6812-051"/>
    <s v="ฌTR-25120074 นันท์นภัส สาโรวาท"/>
    <n v="3000"/>
    <m/>
    <n v="-231369.19"/>
    <n v="3000"/>
  </r>
  <r>
    <n v="268"/>
    <x v="110"/>
    <d v="2568-12-30T00:00:00"/>
    <s v="รับ"/>
    <s v="RVEM6812-052"/>
    <s v="ฌTR-25120044 คมกฤษณ์ วังตระกูล"/>
    <n v="3000"/>
    <m/>
    <n v="-228369.19"/>
    <n v="3000"/>
  </r>
  <r>
    <n v="269"/>
    <x v="135"/>
    <d v="2568-12-30T00:00:00"/>
    <s v="รับ"/>
    <s v="RVEM6812-053"/>
    <s v="ฌTR-25120071 ภาคิณ ประเสริฐจิต"/>
    <n v="5000"/>
    <m/>
    <n v="-223369.19"/>
    <n v="5000"/>
  </r>
  <r>
    <n v="270"/>
    <x v="118"/>
    <d v="2568-12-30T00:00:00"/>
    <s v="รับ"/>
    <s v="RVEM6812-057"/>
    <s v="ฌTR-25120051 ณัฐพงษ์ กองชัยมงคล"/>
    <n v="13000"/>
    <m/>
    <n v="-210369.19"/>
    <n v="13000"/>
  </r>
  <r>
    <n v="271"/>
    <x v="117"/>
    <d v="2568-12-30T00:00:00"/>
    <s v="รับ"/>
    <s v="RVVM6812-026"/>
    <s v="ฌTR-25120032 คุณทรงวุฒิ  พรมโท"/>
    <n v="10000"/>
    <m/>
    <n v="-200369.19"/>
    <n v="10000"/>
  </r>
  <r>
    <n v="272"/>
    <x v="131"/>
    <d v="2568-12-30T00:00:00"/>
    <s v="รับ"/>
    <s v="RVVM6812-026"/>
    <s v="ฌTR-25120033 คุณพงษ์ชัย  เตียวรัตนกุล"/>
    <n v="3000"/>
    <m/>
    <n v="-197369.19"/>
    <n v="3000"/>
  </r>
  <r>
    <n v="273"/>
    <x v="158"/>
    <d v="2568-12-30T00:00:00"/>
    <s v="รับ"/>
    <s v="RVVM6812-028"/>
    <s v="ฌTR-25120094 สุรจิต เมธีวิทยา"/>
    <n v="5000"/>
    <m/>
    <n v="-192369.19"/>
    <n v="5000"/>
  </r>
  <r>
    <n v="274"/>
    <x v="81"/>
    <d v="2568-12-30T00:00:00"/>
    <s v="รับ"/>
    <s v="RVVM6812-028"/>
    <s v="ฌTR-25120014 นารีรัตน์ คำภิระปาวงศ์"/>
    <n v="1000"/>
    <m/>
    <n v="-191369.19"/>
    <n v="1000"/>
  </r>
  <r>
    <n v="275"/>
    <x v="123"/>
    <d v="2568-12-30T00:00:00"/>
    <s v="รับ"/>
    <s v="RVVM6812-028"/>
    <s v="ฌTR-25120058 รินทร์ลภัส ปิจดี"/>
    <n v="3000"/>
    <m/>
    <n v="-188369.19"/>
    <n v="3000"/>
  </r>
  <r>
    <n v="276"/>
    <x v="149"/>
    <d v="2568-12-30T00:00:00"/>
    <s v="รับ"/>
    <s v="RVVM6812-028"/>
    <s v="ฌTR-25120085 ธีระพงษ์ ตันสิทธิพันธ์"/>
    <n v="3000"/>
    <m/>
    <n v="-185369.19"/>
    <n v="3000"/>
  </r>
  <r>
    <n v="277"/>
    <x v="136"/>
    <d v="2568-12-30T00:00:00"/>
    <s v="รับ"/>
    <s v="RVVM6812-028"/>
    <s v="ฌTR-25120072 จิดาภา อริยพฤกษ์"/>
    <n v="3000"/>
    <m/>
    <n v="-182369.19"/>
    <n v="3000"/>
  </r>
  <r>
    <n v="278"/>
    <x v="8"/>
    <d v="2568-12-30T00:00:00"/>
    <s v="ขาย"/>
    <s v="SVAM6812-001"/>
    <s v="คุณวาสนา  หมอกเจริญ"/>
    <m/>
    <n v="196.26"/>
    <n v="-182565.45"/>
    <n v="-196.26"/>
  </r>
  <r>
    <n v="279"/>
    <x v="33"/>
    <d v="2568-12-30T00:00:00"/>
    <s v="ขาย"/>
    <s v="SVAM6812-001"/>
    <s v="คุณธัญวลัย  ต่างประภา"/>
    <m/>
    <n v="327.10000000000002"/>
    <n v="-182892.55"/>
    <n v="-327.10000000000002"/>
  </r>
  <r>
    <n v="280"/>
    <x v="68"/>
    <d v="2568-12-30T00:00:00"/>
    <s v="ขาย"/>
    <s v="SVVM6812-007"/>
    <s v="คุณจิราภา  โหมดวิจิตร"/>
    <n v="327.10000000000002"/>
    <m/>
    <n v="-182565.45"/>
    <n v="327.10000000000002"/>
  </r>
  <r>
    <n v="281"/>
    <x v="163"/>
    <d v="2568-12-30T00:00:00"/>
    <s v="ขาย"/>
    <s v="SVVM6812-007"/>
    <s v="คุณอินทิรา  เฉลิมวงศ์"/>
    <n v="654.21"/>
    <m/>
    <n v="-181911.24"/>
    <n v="654.21"/>
  </r>
  <r>
    <n v="282"/>
    <x v="70"/>
    <d v="2568-12-30T00:00:00"/>
    <s v="ขาย"/>
    <s v="SVVM6812-007"/>
    <s v="คุณจินต์จุฑา  อเนกสิทธิสิน"/>
    <n v="130.84"/>
    <m/>
    <n v="-181780.4"/>
    <n v="130.84"/>
  </r>
  <r>
    <n v="283"/>
    <x v="71"/>
    <d v="2568-12-30T00:00:00"/>
    <s v="ขาย"/>
    <s v="SVVM6812-007"/>
    <s v="คุณอมาวศรี  ยิ่งธนพิบูลย์"/>
    <n v="327.10000000000002"/>
    <m/>
    <n v="-181453.3"/>
    <n v="327.10000000000002"/>
  </r>
  <r>
    <n v="284"/>
    <x v="72"/>
    <d v="2568-12-30T00:00:00"/>
    <s v="ขาย"/>
    <s v="SVVM6812-007"/>
    <s v="คุณอาภรณ์  อิสมาแอล"/>
    <n v="196.26"/>
    <m/>
    <n v="-181257.04"/>
    <n v="196.26"/>
  </r>
  <r>
    <n v="285"/>
    <x v="73"/>
    <d v="2568-12-30T00:00:00"/>
    <s v="ขาย"/>
    <s v="SVVM6812-007"/>
    <s v="คุณวรศักดิ์  หวานสนิท"/>
    <n v="130.84"/>
    <m/>
    <n v="-181126.2"/>
    <n v="130.84"/>
  </r>
  <r>
    <n v="286"/>
    <x v="74"/>
    <d v="2568-12-30T00:00:00"/>
    <s v="ขาย"/>
    <s v="SVVM6812-007"/>
    <s v="คุณธนนดา  พันธุ์ธนวิบูลย์"/>
    <n v="196.26"/>
    <m/>
    <n v="-180929.94"/>
    <n v="196.26"/>
  </r>
  <r>
    <n v="287"/>
    <x v="75"/>
    <d v="2568-12-30T00:00:00"/>
    <s v="ขาย"/>
    <s v="SVVM6812-007"/>
    <s v="คุณรุ่งธรรม   เหลืองรุ่งวสันต์"/>
    <n v="196.26"/>
    <m/>
    <n v="-180733.68"/>
    <n v="196.26"/>
  </r>
  <r>
    <n v="288"/>
    <x v="76"/>
    <d v="2568-12-30T00:00:00"/>
    <s v="ขาย"/>
    <s v="SVVM6812-007"/>
    <s v="คุณยลดา   อาหรับ"/>
    <n v="65.42"/>
    <m/>
    <n v="-180668.26"/>
    <n v="65.42"/>
  </r>
  <r>
    <n v="289"/>
    <x v="77"/>
    <d v="2568-12-30T00:00:00"/>
    <s v="ขาย"/>
    <s v="SVVM6812-007"/>
    <s v="คุณพรธัญภัทร  พูลธัญกิจ"/>
    <n v="196.26"/>
    <m/>
    <n v="-180472"/>
    <n v="196.26"/>
  </r>
  <r>
    <n v="290"/>
    <x v="164"/>
    <d v="2568-12-30T00:00:00"/>
    <s v="ขาย"/>
    <s v="SVVM6812-007"/>
    <s v="คุณศุภกานต์  หลำนุ้ย"/>
    <n v="261.68"/>
    <m/>
    <n v="-180210.32"/>
    <n v="261.68"/>
  </r>
  <r>
    <n v="291"/>
    <x v="165"/>
    <d v="2568-12-30T00:00:00"/>
    <s v="ขาย"/>
    <s v="SVVM6812-007"/>
    <s v="คุณณัฏฐา  ณ บางช้าง"/>
    <n v="8825.23"/>
    <m/>
    <n v="-171385.09"/>
    <n v="8825.23"/>
  </r>
  <r>
    <n v="292"/>
    <x v="80"/>
    <d v="2568-12-30T00:00:00"/>
    <s v="ขาย"/>
    <s v="SVVM6812-007"/>
    <s v="คุณลับผล  นิริะปะกะ"/>
    <n v="196.26"/>
    <m/>
    <n v="-171188.83"/>
    <n v="196.26"/>
  </r>
  <r>
    <n v="293"/>
    <x v="81"/>
    <d v="2568-12-30T00:00:00"/>
    <s v="ขาย"/>
    <s v="SVVM6812-007"/>
    <s v="คุณนารีรัตน์  คำภิระปาวงศ์"/>
    <n v="65.42"/>
    <m/>
    <n v="-171123.41"/>
    <n v="65.42"/>
  </r>
  <r>
    <n v="294"/>
    <x v="82"/>
    <d v="2568-12-30T00:00:00"/>
    <s v="ขาย"/>
    <s v="SVVM6812-007"/>
    <s v="คุณสิริลภา  ปรางประสิทธิ์"/>
    <n v="196.26"/>
    <m/>
    <n v="-170927.15"/>
    <n v="196.26"/>
  </r>
  <r>
    <n v="295"/>
    <x v="166"/>
    <d v="2568-12-30T00:00:00"/>
    <s v="ขาย"/>
    <s v="SVVM6812-007"/>
    <s v="คุณณัฐวุฒิ  ทาตุ๊"/>
    <n v="196.26"/>
    <m/>
    <n v="-170730.89"/>
    <n v="196.26"/>
  </r>
  <r>
    <n v="296"/>
    <x v="84"/>
    <d v="2568-12-30T00:00:00"/>
    <s v="ขาย"/>
    <s v="SVVM6812-007"/>
    <s v="คุณธรรมธร  เกตุแก้ว"/>
    <n v="130.84"/>
    <m/>
    <n v="-170600.05"/>
    <n v="130.84"/>
  </r>
  <r>
    <n v="297"/>
    <x v="85"/>
    <d v="2568-12-30T00:00:00"/>
    <s v="ขาย"/>
    <s v="SVVM6812-007"/>
    <s v="คุณกษิรา  บุญอินทร์"/>
    <n v="196.26"/>
    <m/>
    <n v="-170403.79"/>
    <n v="196.26"/>
  </r>
  <r>
    <n v="298"/>
    <x v="86"/>
    <d v="2568-12-30T00:00:00"/>
    <s v="ขาย"/>
    <s v="SVVM6812-007"/>
    <s v="คุณปาณิศรา  ธนะชัยธิรดา"/>
    <n v="2158.88"/>
    <m/>
    <n v="-168244.91"/>
    <n v="2158.88"/>
  </r>
  <r>
    <n v="299"/>
    <x v="87"/>
    <d v="2568-12-30T00:00:00"/>
    <s v="ขาย"/>
    <s v="SVVM6812-007"/>
    <s v="คุณธีรวุฒิ  นิลเหลือง"/>
    <n v="196.26"/>
    <m/>
    <n v="-168048.65"/>
    <n v="196.26"/>
  </r>
  <r>
    <n v="300"/>
    <x v="88"/>
    <d v="2568-12-30T00:00:00"/>
    <s v="ขาย"/>
    <s v="SVVM6812-007"/>
    <s v="คุณกรกช  วัชราไทย"/>
    <n v="1962.62"/>
    <m/>
    <n v="-166086.03"/>
    <n v="1962.62"/>
  </r>
  <r>
    <n v="301"/>
    <x v="89"/>
    <d v="2568-12-30T00:00:00"/>
    <s v="ขาย"/>
    <s v="SVVM6812-007"/>
    <s v="คุณสิโรตม์  สิริวรนันท์"/>
    <n v="65.42"/>
    <m/>
    <n v="-166020.60999999999"/>
    <n v="65.42"/>
  </r>
  <r>
    <n v="302"/>
    <x v="90"/>
    <d v="2568-12-30T00:00:00"/>
    <s v="ขาย"/>
    <s v="SVVM6812-007"/>
    <s v="คุณบุษกร  แป้นขาว"/>
    <n v="327.10000000000002"/>
    <m/>
    <n v="-165693.51"/>
    <n v="327.10000000000002"/>
  </r>
  <r>
    <n v="303"/>
    <x v="91"/>
    <d v="2568-12-30T00:00:00"/>
    <s v="ขาย"/>
    <s v="SVVM6812-007"/>
    <s v="คุณจิรานุวัฒน์  ดอกไม้"/>
    <n v="196.26"/>
    <m/>
    <n v="-165497.25"/>
    <n v="196.26"/>
  </r>
  <r>
    <n v="304"/>
    <x v="92"/>
    <d v="2568-12-30T00:00:00"/>
    <s v="ขาย"/>
    <s v="SVVM6812-007"/>
    <s v="คุณนามกร  ธรรมสาโร"/>
    <n v="196.26"/>
    <m/>
    <n v="-165300.99"/>
    <n v="196.26"/>
  </r>
  <r>
    <n v="305"/>
    <x v="93"/>
    <d v="2568-12-30T00:00:00"/>
    <s v="ขาย"/>
    <s v="SVVM6812-007"/>
    <s v="คุณวันชัย  อนุชาด"/>
    <n v="654.21"/>
    <m/>
    <n v="-164646.78"/>
    <n v="654.21"/>
  </r>
  <r>
    <n v="306"/>
    <x v="94"/>
    <d v="2568-12-30T00:00:00"/>
    <s v="ขาย"/>
    <s v="SVVM6812-007"/>
    <s v="คุณพงศ์ภัค  ตามแนวธรรม"/>
    <n v="65.42"/>
    <m/>
    <n v="-164581.35999999999"/>
    <n v="65.42"/>
  </r>
  <r>
    <n v="307"/>
    <x v="95"/>
    <d v="2568-12-30T00:00:00"/>
    <s v="ขาย"/>
    <s v="SVVM6812-007"/>
    <s v="คุณสิโรตม์  สิริวรนันท์"/>
    <n v="65.42"/>
    <m/>
    <n v="-164515.94"/>
    <n v="65.42"/>
  </r>
  <r>
    <n v="308"/>
    <x v="96"/>
    <d v="2568-12-30T00:00:00"/>
    <s v="ขาย"/>
    <s v="SVVM6812-007"/>
    <s v="คุณสุมณฑา  พรมวงค์"/>
    <n v="196.26"/>
    <m/>
    <n v="-164319.67999999999"/>
    <n v="196.26"/>
  </r>
  <r>
    <n v="309"/>
    <x v="97"/>
    <d v="2568-12-30T00:00:00"/>
    <s v="ขาย"/>
    <s v="SVVM6812-007"/>
    <s v="คุณรัตนา  พรหมบุตร"/>
    <n v="327.10000000000002"/>
    <m/>
    <n v="-163992.57999999999"/>
    <n v="327.10000000000002"/>
  </r>
  <r>
    <n v="310"/>
    <x v="98"/>
    <d v="2568-12-30T00:00:00"/>
    <s v="ขาย"/>
    <s v="SVVM6812-007"/>
    <s v="คุณสุกิจ  ฐานนำเกียรติ"/>
    <n v="196.26"/>
    <m/>
    <n v="-163796.32"/>
    <n v="196.26"/>
  </r>
  <r>
    <n v="311"/>
    <x v="99"/>
    <d v="2568-12-30T00:00:00"/>
    <s v="ขาย"/>
    <s v="SVVM6812-007"/>
    <s v="คุณนาฏนภา  เป้าปราณี"/>
    <n v="647.66"/>
    <m/>
    <n v="-163148.66"/>
    <n v="647.66"/>
  </r>
  <r>
    <n v="312"/>
    <x v="100"/>
    <d v="2568-12-30T00:00:00"/>
    <s v="ขาย"/>
    <s v="SVVM6812-007"/>
    <s v="คุณสายสมร  ศิริทรัพย์"/>
    <n v="228.97"/>
    <m/>
    <n v="-162919.69"/>
    <n v="228.97"/>
  </r>
  <r>
    <n v="313"/>
    <x v="101"/>
    <d v="2568-12-30T00:00:00"/>
    <s v="ขาย"/>
    <s v="SVVM6812-007"/>
    <s v="คุณสมประสงค์   เชิดชู"/>
    <n v="196.26"/>
    <m/>
    <n v="-162723.43"/>
    <n v="196.26"/>
  </r>
  <r>
    <n v="314"/>
    <x v="102"/>
    <d v="2568-12-30T00:00:00"/>
    <s v="ขาย"/>
    <s v="SVVM6812-007"/>
    <s v="คุณศศมน  พุทธสอน"/>
    <n v="327.10000000000002"/>
    <m/>
    <n v="-162396.32999999999"/>
    <n v="327.10000000000002"/>
  </r>
  <r>
    <n v="315"/>
    <x v="103"/>
    <d v="2568-12-30T00:00:00"/>
    <s v="ขาย"/>
    <s v="SVVM6812-007"/>
    <s v="คุณชุติมา  บุญสูง"/>
    <n v="130.84"/>
    <m/>
    <n v="-162265.49"/>
    <n v="130.84"/>
  </r>
  <r>
    <n v="316"/>
    <x v="104"/>
    <d v="2568-12-30T00:00:00"/>
    <s v="ขาย"/>
    <s v="SVVM6812-007"/>
    <s v="คุณศศินันท์  คิรินทร์รัตนะ"/>
    <n v="654.21"/>
    <m/>
    <n v="-161611.28"/>
    <n v="654.21"/>
  </r>
  <r>
    <n v="317"/>
    <x v="105"/>
    <d v="2568-12-30T00:00:00"/>
    <s v="ขาย"/>
    <s v="SVVM6812-007"/>
    <s v="คุณนิวัฒน์   จีรวงศ์สุนทร"/>
    <n v="1962.62"/>
    <m/>
    <n v="-159648.66"/>
    <n v="1962.62"/>
  </r>
  <r>
    <n v="318"/>
    <x v="106"/>
    <d v="2568-12-30T00:00:00"/>
    <s v="ขาย"/>
    <s v="SVVM6812-007"/>
    <s v="คุณสิริรัตน์  ตรงต่อศักดิ์"/>
    <n v="196.26"/>
    <m/>
    <n v="-159452.4"/>
    <n v="196.26"/>
  </r>
  <r>
    <n v="319"/>
    <x v="107"/>
    <d v="2568-12-30T00:00:00"/>
    <s v="ขาย"/>
    <s v="SVVM6812-007"/>
    <s v="คุณนิธิรุจน์  พรธัญประสิทธิ์"/>
    <n v="327.10000000000002"/>
    <m/>
    <n v="-159125.29999999999"/>
    <n v="327.10000000000002"/>
  </r>
  <r>
    <n v="320"/>
    <x v="93"/>
    <d v="2568-12-30T00:00:00"/>
    <s v="ขาย"/>
    <s v="SVVM6812-007"/>
    <s v="คุณวันชัย  อนุชาด"/>
    <n v="228.97"/>
    <m/>
    <n v="-158896.32999999999"/>
    <n v="228.97"/>
  </r>
  <r>
    <n v="321"/>
    <x v="108"/>
    <d v="2568-12-30T00:00:00"/>
    <s v="ขาย"/>
    <s v="SVVM6812-007"/>
    <s v="คุณมณฑป  โรจนวิสุทธิ์"/>
    <n v="196.26"/>
    <m/>
    <n v="-158700.07"/>
    <n v="196.26"/>
  </r>
  <r>
    <n v="322"/>
    <x v="109"/>
    <d v="2568-12-30T00:00:00"/>
    <s v="ขาย"/>
    <s v="SVVM6812-007"/>
    <s v="คุณอาทิตยา  ภัทรบุญภักดิ์"/>
    <n v="65.42"/>
    <m/>
    <n v="-158634.65"/>
    <n v="65.42"/>
  </r>
  <r>
    <n v="323"/>
    <x v="110"/>
    <d v="2568-12-30T00:00:00"/>
    <s v="ขาย"/>
    <s v="SVVM6812-007"/>
    <s v="คุณคมกฤษณ์  วังตระกูล"/>
    <n v="196.26"/>
    <m/>
    <n v="-158438.39000000001"/>
    <n v="196.26"/>
  </r>
  <r>
    <n v="324"/>
    <x v="111"/>
    <d v="2568-12-30T00:00:00"/>
    <s v="ขาย"/>
    <s v="SVVM6812-007"/>
    <s v="คุณปรเมศวร์  เอี่ยมเต็ง"/>
    <n v="196.26"/>
    <m/>
    <n v="-158242.13"/>
    <n v="196.26"/>
  </r>
  <r>
    <n v="325"/>
    <x v="112"/>
    <d v="2568-12-30T00:00:00"/>
    <s v="ขาย"/>
    <s v="SVVM6812-007"/>
    <s v="คุณสุกัลย์  เหลืองพรนุวัฒน์"/>
    <n v="196.26"/>
    <m/>
    <n v="-158045.87"/>
    <n v="196.26"/>
  </r>
  <r>
    <n v="326"/>
    <x v="113"/>
    <d v="2568-12-30T00:00:00"/>
    <s v="ขาย"/>
    <s v="SVVM6812-007"/>
    <s v="คุณอนาคิน  ธนรุ่งปัญญาสิทธิ์"/>
    <n v="196.26"/>
    <m/>
    <n v="-157849.60999999999"/>
    <n v="196.26"/>
  </r>
  <r>
    <n v="327"/>
    <x v="114"/>
    <d v="2568-12-30T00:00:00"/>
    <s v="ขาย"/>
    <s v="SVVM6812-007"/>
    <s v="คุณนิรัตน์  สุวรรณวิชัย"/>
    <n v="196.26"/>
    <m/>
    <n v="-157653.35"/>
    <n v="196.26"/>
  </r>
  <r>
    <n v="328"/>
    <x v="117"/>
    <d v="2568-12-30T00:00:00"/>
    <s v="ขาย"/>
    <s v="SVVM6812-007"/>
    <s v="คุณทรงวุฒิ  พรมโต"/>
    <n v="654.21"/>
    <m/>
    <n v="-156999.14000000001"/>
    <n v="654.21"/>
  </r>
  <r>
    <n v="329"/>
    <x v="115"/>
    <d v="2568-12-30T00:00:00"/>
    <s v="ขาย"/>
    <s v="SVVM6812-007"/>
    <s v="คุณกัญญา  อินทะมา"/>
    <n v="2158.88"/>
    <m/>
    <n v="-154840.26"/>
    <n v="2158.88"/>
  </r>
  <r>
    <n v="330"/>
    <x v="118"/>
    <d v="2568-12-30T00:00:00"/>
    <s v="ขาย"/>
    <s v="SVVM6812-007"/>
    <s v="คุณณัฐพงษ์  กองชัยมงคล"/>
    <n v="850.47"/>
    <m/>
    <n v="-153989.79"/>
    <n v="850.47"/>
  </r>
  <r>
    <n v="331"/>
    <x v="116"/>
    <d v="2568-12-30T00:00:00"/>
    <s v="ขาย"/>
    <s v="SVVM6812-007"/>
    <s v="คุณนวกชมณ  บุญรอดรักษุ์"/>
    <n v="196.26"/>
    <m/>
    <n v="-153793.53"/>
    <n v="196.26"/>
  </r>
  <r>
    <n v="332"/>
    <x v="119"/>
    <d v="2568-12-30T00:00:00"/>
    <s v="ขาย"/>
    <s v="SVVM6812-007"/>
    <s v="คุณศศิกา  คูเจริญศิลป์"/>
    <n v="327.10000000000002"/>
    <m/>
    <n v="-153466.43"/>
    <n v="327.10000000000002"/>
  </r>
  <r>
    <n v="333"/>
    <x v="120"/>
    <d v="2568-12-30T00:00:00"/>
    <s v="ขาย"/>
    <s v="SVVM6812-007"/>
    <s v="คุณสุรีย์พร  จอมประเสริฐกุล"/>
    <n v="196.26"/>
    <m/>
    <n v="-153270.17000000001"/>
    <n v="196.26"/>
  </r>
  <r>
    <n v="334"/>
    <x v="127"/>
    <d v="2568-12-30T00:00:00"/>
    <s v="ขาย"/>
    <s v="SVVM6812-007"/>
    <s v="คุณกนกวรรณ  หาญณรงค์"/>
    <n v="65.42"/>
    <m/>
    <n v="-153204.75"/>
    <n v="65.42"/>
  </r>
  <r>
    <n v="335"/>
    <x v="128"/>
    <d v="2568-12-30T00:00:00"/>
    <s v="ขาย"/>
    <s v="SVVM6812-007"/>
    <s v="คุณปิยชาติ  กิจธร"/>
    <n v="196.26"/>
    <m/>
    <n v="-153008.49"/>
    <n v="196.26"/>
  </r>
  <r>
    <n v="336"/>
    <x v="129"/>
    <d v="2568-12-30T00:00:00"/>
    <s v="ขาย"/>
    <s v="SVVM6812-007"/>
    <s v="คุณวรัสชญาน์   ไพศาลกนกวัชร์"/>
    <n v="654.21"/>
    <m/>
    <n v="-152354.28"/>
    <n v="654.21"/>
  </r>
  <r>
    <n v="337"/>
    <x v="130"/>
    <d v="2568-12-30T00:00:00"/>
    <s v="ขาย"/>
    <s v="SVVM6812-007"/>
    <s v="คุณนิธินาฏ   ชินะนาวิน"/>
    <n v="65.42"/>
    <m/>
    <n v="-152288.85999999999"/>
    <n v="65.42"/>
  </r>
  <r>
    <n v="338"/>
    <x v="131"/>
    <d v="2568-12-30T00:00:00"/>
    <s v="ขาย"/>
    <s v="SVVM6812-007"/>
    <s v="คุณพงษ์ชัย   เดียวรัตนกุล"/>
    <n v="196.26"/>
    <m/>
    <n v="-152092.6"/>
    <n v="196.26"/>
  </r>
  <r>
    <n v="339"/>
    <x v="132"/>
    <d v="2568-12-30T00:00:00"/>
    <s v="ขาย"/>
    <s v="SVVM6812-007"/>
    <s v="คุณพวงเพชร   ศรีสุพล"/>
    <n v="65.42"/>
    <m/>
    <n v="-152027.18"/>
    <n v="65.42"/>
  </r>
  <r>
    <n v="340"/>
    <x v="61"/>
    <d v="2568-12-30T00:00:00"/>
    <s v="ขาย"/>
    <s v="SVVM6812-007"/>
    <s v="คุณชุมาพร  นนท์ปฎิมากุล"/>
    <n v="196.26"/>
    <m/>
    <n v="-151830.92000000001"/>
    <n v="196.26"/>
  </r>
  <r>
    <n v="341"/>
    <x v="133"/>
    <d v="2568-12-30T00:00:00"/>
    <s v="ขาย"/>
    <s v="SVVM6812-007"/>
    <s v="คุณภควัต   ส่งคุณฤทธิการ"/>
    <n v="327.10000000000002"/>
    <m/>
    <n v="-151503.82"/>
    <n v="327.10000000000002"/>
  </r>
  <r>
    <n v="342"/>
    <x v="134"/>
    <d v="2568-12-30T00:00:00"/>
    <s v="ขาย"/>
    <s v="SVVM6812-007"/>
    <s v="คุณจริยา  พิมละมาด"/>
    <n v="196.26"/>
    <m/>
    <n v="-151307.56"/>
    <n v="196.26"/>
  </r>
  <r>
    <n v="343"/>
    <x v="57"/>
    <d v="2568-12-30T00:00:00"/>
    <s v="ขาย"/>
    <s v="SVVM6812-007"/>
    <s v="คุณสมปรารถนา  คล้ายวิเชียร"/>
    <n v="196.26"/>
    <m/>
    <n v="-151111.29999999999"/>
    <n v="196.26"/>
  </r>
  <r>
    <n v="344"/>
    <x v="135"/>
    <d v="2568-12-30T00:00:00"/>
    <s v="ขาย"/>
    <s v="SVVM6812-007"/>
    <s v="คุณภาคิณ  ประเสริฐจิต"/>
    <n v="327.10000000000002"/>
    <m/>
    <n v="-150784.20000000001"/>
    <n v="327.10000000000002"/>
  </r>
  <r>
    <n v="345"/>
    <x v="136"/>
    <d v="2568-12-30T00:00:00"/>
    <s v="ขาย"/>
    <s v="SVVM6812-007"/>
    <s v="คุณจิดาภา  อริยพฤกษ์"/>
    <n v="196.26"/>
    <m/>
    <n v="-150587.94"/>
    <n v="196.26"/>
  </r>
  <r>
    <n v="346"/>
    <x v="137"/>
    <d v="2568-12-30T00:00:00"/>
    <s v="ขาย"/>
    <s v="SVVM6812-007"/>
    <s v="คุณณัฐพล  จรัสสุขสวัสดิ์"/>
    <n v="65.42"/>
    <m/>
    <n v="-150522.51999999999"/>
    <n v="65.42"/>
  </r>
  <r>
    <n v="347"/>
    <x v="138"/>
    <d v="2568-12-30T00:00:00"/>
    <s v="ขาย"/>
    <s v="SVVM6812-007"/>
    <s v="คุณนันท์นภัส   สาโรวาท"/>
    <n v="196.26"/>
    <m/>
    <n v="-150326.26"/>
    <n v="196.26"/>
  </r>
  <r>
    <n v="348"/>
    <x v="139"/>
    <d v="2568-12-30T00:00:00"/>
    <s v="ขาย"/>
    <s v="SVVM6812-007"/>
    <s v="คุณศุภัสวิชญ์   เชื้อไตรสรณ์"/>
    <n v="65.42"/>
    <m/>
    <n v="-150260.84"/>
    <n v="65.42"/>
  </r>
  <r>
    <n v="349"/>
    <x v="140"/>
    <d v="2568-12-30T00:00:00"/>
    <s v="ขาย"/>
    <s v="SVVM6812-007"/>
    <s v="คุณวชิรญาณ์   ศรีแก้วเฒ่า"/>
    <n v="65.42"/>
    <m/>
    <n v="-150195.42000000001"/>
    <n v="65.42"/>
  </r>
  <r>
    <n v="350"/>
    <x v="141"/>
    <d v="2568-12-30T00:00:00"/>
    <s v="ขาย"/>
    <s v="SVVM6812-007"/>
    <s v="คุณอัษฏางค์   ชวนะเกาศัลย์"/>
    <n v="130.84"/>
    <m/>
    <n v="-150064.57999999999"/>
    <n v="130.84"/>
  </r>
  <r>
    <n v="351"/>
    <x v="142"/>
    <d v="2568-12-30T00:00:00"/>
    <s v="ขาย"/>
    <s v="SVVM6812-007"/>
    <s v="คุณวันชัย   แสงอมรสกุล"/>
    <n v="196.26"/>
    <m/>
    <n v="-149868.32"/>
    <n v="196.26"/>
  </r>
  <r>
    <n v="352"/>
    <x v="143"/>
    <d v="2568-12-30T00:00:00"/>
    <s v="ขาย"/>
    <s v="SVVM6812-007"/>
    <s v="คุณไชยา   เริงเกษตรกรณ์"/>
    <n v="130.84"/>
    <m/>
    <n v="-149737.48000000001"/>
    <n v="130.84"/>
  </r>
  <r>
    <n v="353"/>
    <x v="144"/>
    <d v="2568-12-30T00:00:00"/>
    <s v="ขาย"/>
    <s v="SVVM6812-007"/>
    <s v="คุณจิรวรรณ   เสนาดี"/>
    <n v="65.42"/>
    <m/>
    <n v="-149672.06"/>
    <n v="65.42"/>
  </r>
  <r>
    <n v="354"/>
    <x v="145"/>
    <d v="2568-12-30T00:00:00"/>
    <s v="ขาย"/>
    <s v="SVVM6812-007"/>
    <s v="คุณพิทยาภรณ์   ตั้งศิริไพบูลย์"/>
    <n v="196.26"/>
    <m/>
    <n v="-149475.79999999999"/>
    <n v="196.26"/>
  </r>
  <r>
    <n v="355"/>
    <x v="146"/>
    <d v="2568-12-30T00:00:00"/>
    <s v="ขาย"/>
    <s v="SVVM6812-007"/>
    <s v="คุณกนกอร   บุญเพ็ง"/>
    <n v="196.26"/>
    <m/>
    <n v="-149279.54"/>
    <n v="196.26"/>
  </r>
  <r>
    <n v="356"/>
    <x v="147"/>
    <d v="2568-12-30T00:00:00"/>
    <s v="ขาย"/>
    <s v="SVVM6812-007"/>
    <s v="บริษัทอินเตอร์ ชัยพัฒนาพลาสติค   จำกัด"/>
    <n v="654.21"/>
    <m/>
    <n v="-148625.32999999999"/>
    <n v="654.21"/>
  </r>
  <r>
    <n v="357"/>
    <x v="148"/>
    <d v="2568-12-30T00:00:00"/>
    <s v="ขาย"/>
    <s v="SVVM6812-007"/>
    <s v="คุณวรัชญ์   กล้าแข็ง"/>
    <n v="196.26"/>
    <m/>
    <n v="-148429.07"/>
    <n v="196.26"/>
  </r>
  <r>
    <n v="358"/>
    <x v="149"/>
    <d v="2568-12-30T00:00:00"/>
    <s v="ขาย"/>
    <s v="SVVM6812-007"/>
    <s v="คุณธีระพงษ์  ตันสิทธิพันธ์"/>
    <n v="196.26"/>
    <m/>
    <n v="-148232.81"/>
    <n v="196.26"/>
  </r>
  <r>
    <n v="359"/>
    <x v="150"/>
    <d v="2568-12-30T00:00:00"/>
    <s v="ขาย"/>
    <s v="SVVM6812-007"/>
    <s v="คุณนวลอนงค์   เตชะรุจิเศรษฐ"/>
    <n v="130.84"/>
    <m/>
    <n v="-148101.97"/>
    <n v="130.84"/>
  </r>
  <r>
    <n v="360"/>
    <x v="151"/>
    <d v="2568-12-30T00:00:00"/>
    <s v="ขาย"/>
    <s v="SVVM6812-007"/>
    <s v="คุณนัฐพงษ์    พลประถม"/>
    <n v="327.10000000000002"/>
    <m/>
    <n v="-147774.87"/>
    <n v="327.10000000000002"/>
  </r>
  <r>
    <n v="361"/>
    <x v="152"/>
    <d v="2568-12-30T00:00:00"/>
    <s v="ขาย"/>
    <s v="SVVM6812-007"/>
    <s v="คุณอภิชาติ   ทองคำชุม"/>
    <n v="130.84"/>
    <m/>
    <n v="-147644.03"/>
    <n v="130.84"/>
  </r>
  <r>
    <n v="362"/>
    <x v="153"/>
    <d v="2568-12-30T00:00:00"/>
    <s v="ขาย"/>
    <s v="SVVM6812-007"/>
    <s v="คุณสุชญา   เกไทสง"/>
    <n v="130.84"/>
    <m/>
    <n v="-147513.19"/>
    <n v="130.84"/>
  </r>
  <r>
    <n v="363"/>
    <x v="154"/>
    <d v="2568-12-30T00:00:00"/>
    <s v="ขาย"/>
    <s v="SVVM6812-007"/>
    <s v="คุณชุติมณฑน์   สีหนาท"/>
    <n v="130.84"/>
    <m/>
    <n v="-147382.35"/>
    <n v="130.84"/>
  </r>
  <r>
    <n v="364"/>
    <x v="155"/>
    <d v="2568-12-30T00:00:00"/>
    <s v="ขาย"/>
    <s v="SVVM6812-007"/>
    <s v="คุณอภิวัฒน์   ติดใจดี"/>
    <n v="196.26"/>
    <m/>
    <n v="-147186.09"/>
    <n v="196.26"/>
  </r>
  <r>
    <n v="365"/>
    <x v="156"/>
    <d v="2568-12-30T00:00:00"/>
    <s v="ขาย"/>
    <s v="SVVM6812-007"/>
    <s v="บริษัทเฟิร์ส เอ็นจิเนียริ่ง แอนด์ โซลูชั่น   จำกัด"/>
    <n v="130.84"/>
    <m/>
    <n v="-147055.25"/>
    <n v="130.84"/>
  </r>
  <r>
    <n v="366"/>
    <x v="157"/>
    <d v="2568-12-30T00:00:00"/>
    <s v="ขาย"/>
    <s v="SVVM6812-007"/>
    <s v="คุณธัญญ์รวี  แสงหิรัญเดชาฉัตร์"/>
    <n v="196.26"/>
    <m/>
    <n v="-146858.99"/>
    <n v="196.26"/>
  </r>
  <r>
    <n v="367"/>
    <x v="158"/>
    <d v="2568-12-30T00:00:00"/>
    <s v="ขาย"/>
    <s v="SVVM6812-007"/>
    <s v="คุณสุรจิต  เมธีวิทยา"/>
    <n v="327.10000000000002"/>
    <m/>
    <n v="-146531.89000000001"/>
    <n v="327.10000000000002"/>
  </r>
  <r>
    <n v="368"/>
    <x v="159"/>
    <d v="2568-12-30T00:00:00"/>
    <s v="ขาย"/>
    <s v="SVVM6812-007"/>
    <s v="คุณชัยชาญ   นวลศรี"/>
    <n v="196.26"/>
    <m/>
    <n v="-146335.63"/>
    <n v="196.26"/>
  </r>
  <r>
    <n v="369"/>
    <x v="160"/>
    <d v="2568-12-30T00:00:00"/>
    <s v="ขาย"/>
    <s v="SVVM6812-007"/>
    <s v="คุณศิริชัย  กาญจโนภาส"/>
    <n v="196.26"/>
    <m/>
    <n v="-146139.37"/>
    <n v="196.26"/>
  </r>
  <r>
    <n v="370"/>
    <x v="161"/>
    <d v="2568-12-30T00:00:00"/>
    <s v="ขาย"/>
    <s v="SVVM6812-007"/>
    <s v="คุณศิโรรัตน์  สัจจะวัฒนวิมล"/>
    <n v="196.26"/>
    <m/>
    <n v="-145943.10999999999"/>
    <n v="196.26"/>
  </r>
  <r>
    <n v="371"/>
    <x v="162"/>
    <d v="2568-12-30T00:00:00"/>
    <s v="ขาย"/>
    <s v="SVVM6812-007"/>
    <s v="คุณชาติชาย  วรพิพัฒน์"/>
    <n v="130.84"/>
    <m/>
    <n v="-145812.26999999999"/>
    <n v="130.84"/>
  </r>
  <r>
    <n v="372"/>
    <x v="121"/>
    <d v="2568-12-30T00:00:00"/>
    <s v="ขาย"/>
    <s v="SVVM6812-007"/>
    <s v="คุณสิริกร กรกิตติกุลภักดี"/>
    <n v="65.42"/>
    <m/>
    <n v="-145746.85"/>
    <n v="65.42"/>
  </r>
  <r>
    <n v="373"/>
    <x v="122"/>
    <d v="2568-12-30T00:00:00"/>
    <s v="ขาย"/>
    <s v="SVVM6812-007"/>
    <s v="คุณวิญญู  หนูเรขา"/>
    <n v="65.42"/>
    <m/>
    <n v="-145681.43"/>
    <n v="65.42"/>
  </r>
  <r>
    <n v="374"/>
    <x v="124"/>
    <d v="2568-12-30T00:00:00"/>
    <s v="ขาย"/>
    <s v="SVVM6812-007"/>
    <s v="คุณจันทร  สังข์สุวรรณ"/>
    <n v="65.42"/>
    <m/>
    <n v="-145616.01"/>
    <n v="65.42"/>
  </r>
  <r>
    <n v="375"/>
    <x v="123"/>
    <d v="2568-12-30T00:00:00"/>
    <s v="ขาย"/>
    <s v="SVVM6812-007"/>
    <s v="คุณรินทร์ลภัส  ปิจดี"/>
    <n v="196.26"/>
    <m/>
    <n v="-145419.75"/>
    <n v="196.26"/>
  </r>
  <r>
    <n v="376"/>
    <x v="125"/>
    <d v="2568-12-30T00:00:00"/>
    <s v="ขาย"/>
    <s v="SVVM6812-007"/>
    <s v="คุณพิทยารัตน์  มูลจันดา"/>
    <n v="1308.4100000000001"/>
    <m/>
    <n v="-144111.34"/>
    <n v="1308.4100000000001"/>
  </r>
  <r>
    <n v="377"/>
    <x v="126"/>
    <d v="2568-12-30T00:00:00"/>
    <s v="ขาย"/>
    <s v="SVVM6812-007"/>
    <s v="คุณวีราภรณ์  สีตะสิทธิ์"/>
    <n v="654.21"/>
    <m/>
    <n v="-143457.13"/>
    <n v="654.21"/>
  </r>
  <r>
    <n v="378"/>
    <x v="64"/>
    <d v="2568-12-30T00:00:00"/>
    <s v="ขาย"/>
    <s v="SVVM6812-008"/>
    <s v="คุณธนกฤต  ฤทธิ์ภักดีกุล"/>
    <m/>
    <n v="327.10000000000002"/>
    <n v="-143784.23000000001"/>
    <n v="-327.10000000000002"/>
  </r>
  <r>
    <n v="379"/>
    <x v="43"/>
    <d v="2568-12-30T00:00:00"/>
    <s v="ขาย"/>
    <s v="SVVM6812-008"/>
    <s v="คุณจิตตาภา  ขุนทอง"/>
    <m/>
    <n v="196.26"/>
    <n v="-143980.49"/>
    <n v="-196.26"/>
  </r>
  <r>
    <n v="380"/>
    <x v="50"/>
    <d v="2568-12-30T00:00:00"/>
    <s v="ขาย"/>
    <s v="SVVM6812-008"/>
    <s v="คุณณภัสญาณ์  เลิศวรรธน์กุล"/>
    <m/>
    <n v="654.21"/>
    <n v="-144634.70000000001"/>
    <n v="-654.21"/>
  </r>
  <r>
    <n v="381"/>
    <x v="39"/>
    <d v="2568-12-30T00:00:00"/>
    <s v="ขาย"/>
    <s v="SVVM6812-008"/>
    <s v="คุณณภัสญาณ์  เลิศวรรธน์กุล"/>
    <m/>
    <n v="130.84"/>
    <n v="-144765.54"/>
    <n v="-130.84"/>
  </r>
  <r>
    <n v="382"/>
    <x v="56"/>
    <d v="2568-12-30T00:00:00"/>
    <s v="ขาย"/>
    <s v="SVVM6812-008"/>
    <s v="คุณอินทิรา  เฉลิมวงศ์"/>
    <m/>
    <n v="392.52"/>
    <n v="-145158.06"/>
    <n v="-392.52"/>
  </r>
  <r>
    <n v="383"/>
    <x v="47"/>
    <d v="2568-12-30T00:00:00"/>
    <s v="ขาย"/>
    <s v="SVVM6812-008"/>
    <s v="คุณวิรุฬห์  มูซอ"/>
    <m/>
    <n v="327.10000000000002"/>
    <n v="-145485.16"/>
    <n v="-327.10000000000002"/>
  </r>
  <r>
    <n v="384"/>
    <x v="65"/>
    <d v="2568-12-30T00:00:00"/>
    <s v="ขาย"/>
    <s v="SVVM6812-008"/>
    <s v="คุณสุดนารี  แซ่ลี้"/>
    <m/>
    <n v="327.10000000000002"/>
    <n v="-145812.26"/>
    <n v="-327.10000000000002"/>
  </r>
  <r>
    <n v="385"/>
    <x v="165"/>
    <d v="2568-12-30T00:00:00"/>
    <s v="ขาย"/>
    <s v="SVVM6812-008"/>
    <s v="คุณณัฏฐา  ณ บางช้าง"/>
    <m/>
    <n v="8825.23"/>
    <n v="-154637.49"/>
    <n v="-8825.23"/>
  </r>
  <r>
    <n v="386"/>
    <x v="166"/>
    <d v="2568-12-30T00:00:00"/>
    <s v="ขาย"/>
    <s v="SVVM6812-008"/>
    <s v="คุณณัฐวุฒิ  ทาตุ๊"/>
    <m/>
    <n v="196.26"/>
    <n v="-154833.75"/>
    <n v="-196.26"/>
  </r>
  <r>
    <n v="387"/>
    <x v="99"/>
    <d v="2568-12-30T00:00:00"/>
    <s v="ขาย"/>
    <s v="SVVM6812-008"/>
    <s v="คุณนาฏนภา  เป้าปราณี"/>
    <m/>
    <n v="647.66"/>
    <n v="-155481.41"/>
    <n v="-647.66"/>
  </r>
  <r>
    <n v="388"/>
    <x v="101"/>
    <d v="2568-12-30T00:00:00"/>
    <s v="ขาย"/>
    <s v="SVVM6812-008"/>
    <s v="คุณสมประสงค์   เชิดชู"/>
    <m/>
    <n v="196.26"/>
    <n v="-155677.67000000001"/>
    <n v="-196.26"/>
  </r>
  <r>
    <n v="389"/>
    <x v="93"/>
    <d v="2568-12-30T00:00:00"/>
    <s v="ขาย"/>
    <s v="SVVM6812-008"/>
    <s v="คุณวันชัย  อนุชาด"/>
    <m/>
    <n v="228.97"/>
    <n v="-155906.64000000001"/>
    <n v="-228.97"/>
  </r>
  <r>
    <n v="390"/>
    <x v="104"/>
    <d v="2568-12-30T00:00:00"/>
    <s v="ขาย"/>
    <s v="SVVM6812-008"/>
    <s v="คุณศศินันท์  คิรินทร์รัตนะ"/>
    <m/>
    <n v="654.21"/>
    <n v="-156560.85"/>
    <n v="-654.21"/>
  </r>
  <r>
    <n v="391"/>
    <x v="67"/>
    <d v="2568-12-30T00:00:00"/>
    <s v="ขาย"/>
    <s v="SVVM6812-008"/>
    <s v="คุณพงศ์ภัค  ตามแนวธรรม"/>
    <m/>
    <n v="327.10000000000002"/>
    <n v="-156887.95000000001"/>
    <n v="-327.10000000000002"/>
  </r>
  <r>
    <n v="392"/>
    <x v="94"/>
    <d v="2568-12-30T00:00:00"/>
    <s v="ขาย"/>
    <s v="SVVM6812-008"/>
    <s v="คุณพงศ์ภัค  ตามแนวธรรม"/>
    <m/>
    <n v="65.42"/>
    <n v="-156953.37"/>
    <n v="-65.42"/>
  </r>
  <r>
    <n v="393"/>
    <x v="84"/>
    <d v="2568-12-30T00:00:00"/>
    <s v="ขาย"/>
    <s v="SVVM6812-008"/>
    <s v="คุณธรรมธร  เกตุแก้ว"/>
    <m/>
    <n v="130.84"/>
    <n v="-157084.21"/>
    <n v="-130.84"/>
  </r>
  <r>
    <n v="394"/>
    <x v="125"/>
    <d v="2568-12-30T00:00:00"/>
    <s v="ขาย"/>
    <s v="SVVM6812-008"/>
    <s v="คุณพิทยารัตน์  มูลจันดา"/>
    <m/>
    <n v="1308.4100000000001"/>
    <n v="-158392.62"/>
    <n v="-1308.4100000000001"/>
  </r>
  <r>
    <n v="395"/>
    <x v="61"/>
    <d v="2568-12-30T00:00:00"/>
    <s v="ขาย"/>
    <s v="SVVM6812-008"/>
    <s v="คุณชุมาพร  นนท์ปฎิมากุล"/>
    <m/>
    <n v="196.26"/>
    <n v="-158588.88"/>
    <n v="-196.26"/>
  </r>
  <r>
    <n v="396"/>
    <x v="137"/>
    <d v="2568-12-30T00:00:00"/>
    <s v="ขาย"/>
    <s v="SVVM6812-008"/>
    <s v="คุณณัฐพล  จรัสสุขสวัสดิ์"/>
    <m/>
    <n v="65.42"/>
    <n v="-158654.29999999999"/>
    <n v="-65.42"/>
  </r>
  <r>
    <n v="397"/>
    <x v="68"/>
    <d v="2568-12-30T00:00:00"/>
    <s v="ขาย"/>
    <s v="SVVM6812-008"/>
    <s v="คุณจิราภา  โหมดวิจิตร"/>
    <m/>
    <n v="327.10000000000002"/>
    <n v="-158981.4"/>
    <n v="-327.10000000000002"/>
  </r>
  <r>
    <n v="398"/>
    <x v="57"/>
    <d v="2568-12-30T00:00:00"/>
    <s v="ขาย"/>
    <s v="SVVM6812-008"/>
    <s v="คุณสมปรารถนา  คล้ายวิเชียร"/>
    <m/>
    <n v="196.26"/>
    <n v="-159177.66"/>
    <n v="-196.26"/>
  </r>
  <r>
    <n v="399"/>
    <x v="134"/>
    <d v="2568-12-30T00:00:00"/>
    <s v="ขาย"/>
    <s v="SVVM6812-008"/>
    <s v="คุณจริยา  พิมละมาด"/>
    <m/>
    <n v="196.26"/>
    <n v="-159373.92000000001"/>
    <n v="-196.26"/>
  </r>
  <r>
    <n v="400"/>
    <x v="117"/>
    <d v="2568-12-30T00:00:00"/>
    <s v="ขาย"/>
    <s v="SVVM6812-008"/>
    <s v="คุณทรงวุฒิ  พรมโต"/>
    <m/>
    <n v="654.21"/>
    <n v="-160028.13"/>
    <n v="-654.21"/>
  </r>
  <r>
    <n v="401"/>
    <x v="131"/>
    <d v="2568-12-30T00:00:00"/>
    <s v="ขาย"/>
    <s v="SVVM6812-008"/>
    <s v="คุณพงษ์ชัย   เดียวรัตนกุล"/>
    <m/>
    <n v="196.26"/>
    <n v="-160224.39000000001"/>
    <n v="-196.26"/>
  </r>
  <r>
    <n v="402"/>
    <x v="63"/>
    <d v="2568-12-30T00:00:00"/>
    <s v="ขาย"/>
    <s v="SVVM6812-008"/>
    <s v="คุณสุภาธินี  อินทโสภา"/>
    <m/>
    <n v="196.26"/>
    <n v="-160420.65"/>
    <n v="-196.26"/>
  </r>
  <r>
    <n v="403"/>
    <x v="51"/>
    <d v="2568-12-30T00:00:00"/>
    <s v="ขาย"/>
    <s v="SVVM6812-008"/>
    <s v="คุณไอลดา  ไชยศรี"/>
    <m/>
    <n v="327.10000000000002"/>
    <n v="-160747.75"/>
    <n v="-327.10000000000002"/>
  </r>
  <r>
    <n v="404"/>
    <x v="59"/>
    <d v="2568-12-30T00:00:00"/>
    <s v="ขาย"/>
    <s v="SVVM6812-008"/>
    <s v="คุณนพรัตน์  ศักดิ์ศิริ"/>
    <m/>
    <n v="327.10000000000002"/>
    <n v="-161074.85"/>
    <n v="-327.10000000000002"/>
  </r>
  <r>
    <n v="405"/>
    <x v="87"/>
    <d v="2568-12-30T00:00:00"/>
    <s v="ขาย"/>
    <s v="SVVM6812-008"/>
    <s v="คุณธีรวุฒิ  นิลเหลือง"/>
    <m/>
    <n v="196.26"/>
    <n v="-161271.10999999999"/>
    <n v="-196.26"/>
  </r>
  <r>
    <n v="406"/>
    <x v="163"/>
    <d v="2568-12-30T00:00:00"/>
    <s v="ขาย"/>
    <s v="SVVM6812-008"/>
    <s v="คุณอินทิรา  เฉลิมวงศ์"/>
    <m/>
    <n v="654.21"/>
    <n v="-161925.32"/>
    <n v="-654.21"/>
  </r>
  <r>
    <n v="407"/>
    <x v="85"/>
    <d v="2568-12-30T00:00:00"/>
    <s v="ขาย"/>
    <s v="SVVM6812-008"/>
    <s v="คุณกษิรา  บุญอินทร์"/>
    <m/>
    <n v="196.26"/>
    <n v="-162121.57999999999"/>
    <n v="-196.26"/>
  </r>
  <r>
    <n v="408"/>
    <x v="164"/>
    <d v="2568-12-30T00:00:00"/>
    <s v="ขาย"/>
    <s v="SVVM6812-008"/>
    <s v="คุณศุภกานต์  หลำนุ้ย"/>
    <m/>
    <n v="261.68"/>
    <n v="-162383.26"/>
    <n v="-261.68"/>
  </r>
  <r>
    <n v="409"/>
    <x v="76"/>
    <d v="2568-12-30T00:00:00"/>
    <s v="ขาย"/>
    <s v="SVVM6812-008"/>
    <s v="คุณยลดา   อาหรับ"/>
    <m/>
    <n v="65.42"/>
    <n v="-162448.68"/>
    <n v="-65.42"/>
  </r>
  <r>
    <n v="410"/>
    <x v="103"/>
    <d v="2568-12-30T00:00:00"/>
    <s v="ขาย"/>
    <s v="SVVM6812-008"/>
    <s v="คุณชุติมา  บุญสูง"/>
    <m/>
    <n v="130.84"/>
    <n v="-162579.51999999999"/>
    <n v="-130.84"/>
  </r>
  <r>
    <n v="411"/>
    <x v="54"/>
    <d v="2568-12-30T00:00:00"/>
    <s v="ขาย"/>
    <s v="SVVM6812-008"/>
    <s v="คุณอัครวัฒน์  เดชานันท์เสถียร"/>
    <m/>
    <n v="196.26"/>
    <n v="-162775.78"/>
    <n v="-196.26"/>
  </r>
  <r>
    <n v="412"/>
    <x v="114"/>
    <d v="2568-12-30T00:00:00"/>
    <s v="ขาย"/>
    <s v="SVVM6812-008"/>
    <s v="คุณนิรัตน์  สุวรรณวิชัย"/>
    <m/>
    <n v="196.26"/>
    <n v="-162972.04"/>
    <n v="-196.26"/>
  </r>
  <r>
    <n v="413"/>
    <x v="75"/>
    <d v="2568-12-30T00:00:00"/>
    <s v="ขาย"/>
    <s v="SVVM6812-008"/>
    <s v="คุณรุ่งธรรม   เหลืองรุ่งวสันต์"/>
    <m/>
    <n v="196.26"/>
    <n v="-163168.29999999999"/>
    <n v="-196.26"/>
  </r>
  <r>
    <n v="414"/>
    <x v="111"/>
    <d v="2568-12-30T00:00:00"/>
    <s v="ขาย"/>
    <s v="SVVM6812-008"/>
    <s v="คุณปรเมศวร์  เอี่ยมเต็ง"/>
    <m/>
    <n v="196.26"/>
    <n v="-163364.56"/>
    <n v="-196.26"/>
  </r>
  <r>
    <n v="415"/>
    <x v="109"/>
    <d v="2568-12-30T00:00:00"/>
    <s v="ขาย"/>
    <s v="SVVM6812-008"/>
    <s v="คุณอาทิตยา  ภัทรบุญภักดิ์"/>
    <m/>
    <n v="65.42"/>
    <n v="-163429.98000000001"/>
    <n v="-65.42"/>
  </r>
  <r>
    <n v="416"/>
    <x v="108"/>
    <d v="2568-12-30T00:00:00"/>
    <s v="ขาย"/>
    <s v="SVVM6812-008"/>
    <s v="คุณมณฑป  โรจนวิสุทธิ์"/>
    <m/>
    <n v="196.26"/>
    <n v="-163626.23999999999"/>
    <n v="-196.26"/>
  </r>
  <r>
    <n v="417"/>
    <x v="93"/>
    <d v="2568-12-30T00:00:00"/>
    <s v="ขาย"/>
    <s v="SVVM6812-008"/>
    <s v="คุณวันชัย  อนุชาด"/>
    <m/>
    <n v="654.21"/>
    <n v="-164280.45000000001"/>
    <n v="-654.21"/>
  </r>
  <r>
    <n v="418"/>
    <x v="90"/>
    <d v="2568-12-30T00:00:00"/>
    <s v="ขาย"/>
    <s v="SVVM6812-008"/>
    <s v="คุณบุษกร  แป้นขาว"/>
    <m/>
    <n v="327.10000000000002"/>
    <n v="-164607.54999999999"/>
    <n v="-327.10000000000002"/>
  </r>
  <r>
    <n v="419"/>
    <x v="86"/>
    <d v="2568-12-30T00:00:00"/>
    <s v="ขาย"/>
    <s v="SVVM6812-008"/>
    <s v="คุณปาณิศรา  ธนะชัยธิรดา"/>
    <m/>
    <n v="2158.88"/>
    <n v="-166766.43"/>
    <n v="-2158.88"/>
  </r>
  <r>
    <n v="420"/>
    <x v="118"/>
    <d v="2568-12-30T00:00:00"/>
    <s v="ขาย"/>
    <s v="SVVM6812-008"/>
    <s v="คุณณัฐพงษ์  กองชัยมงคล"/>
    <m/>
    <n v="850.47"/>
    <n v="-167616.9"/>
    <n v="-850.47"/>
  </r>
  <r>
    <n v="421"/>
    <x v="102"/>
    <d v="2568-12-30T00:00:00"/>
    <s v="ขาย"/>
    <s v="SVVM6812-008"/>
    <s v="คุณศศมน  พุทธสอน"/>
    <m/>
    <n v="327.10000000000002"/>
    <n v="-167944"/>
    <n v="-327.10000000000002"/>
  </r>
  <r>
    <n v="422"/>
    <x v="112"/>
    <d v="2568-12-30T00:00:00"/>
    <s v="ขาย"/>
    <s v="SVVM6812-008"/>
    <s v="คุณสุกัลย์  เหลืองพรนุวัฒน์"/>
    <m/>
    <n v="196.26"/>
    <n v="-168140.26"/>
    <n v="-196.26"/>
  </r>
  <r>
    <n v="423"/>
    <x v="113"/>
    <d v="2568-12-30T00:00:00"/>
    <s v="ขาย"/>
    <s v="SVVM6812-008"/>
    <s v="คุณอนาคิน  ธนรุ่งปัญญาสิทธิ์"/>
    <m/>
    <n v="196.26"/>
    <n v="-168336.52"/>
    <n v="-196.26"/>
  </r>
  <r>
    <n v="424"/>
    <x v="135"/>
    <d v="2568-12-30T00:00:00"/>
    <s v="ขาย"/>
    <s v="SVVM6812-008"/>
    <s v="คุณภาคิณ  ประเสริฐจิต"/>
    <m/>
    <n v="327.10000000000002"/>
    <n v="-168663.62"/>
    <n v="-327.10000000000002"/>
  </r>
  <r>
    <n v="425"/>
    <x v="61"/>
    <d v="2568-12-30T00:00:00"/>
    <s v="ขาย"/>
    <s v="SVVM6812-008"/>
    <s v="คุณชุมาพร  นนท์ปฎิมากุล"/>
    <m/>
    <n v="196.26"/>
    <n v="-168859.88"/>
    <n v="-196.26"/>
  </r>
  <r>
    <n v="426"/>
    <x v="74"/>
    <d v="2568-12-30T00:00:00"/>
    <s v="ขาย"/>
    <s v="SVVM6812-008"/>
    <s v="คุณธนนดา  พันธุ์ธนวิบูลย์"/>
    <m/>
    <n v="196.26"/>
    <n v="-169056.14"/>
    <n v="-196.26"/>
  </r>
  <r>
    <n v="427"/>
    <x v="110"/>
    <d v="2568-12-30T00:00:00"/>
    <s v="ขาย"/>
    <s v="SVVM6812-008"/>
    <s v="คุณคมกฤษณ์  วังตระกูล"/>
    <m/>
    <n v="196.26"/>
    <n v="-169252.4"/>
    <n v="-196.26"/>
  </r>
  <r>
    <n v="428"/>
    <x v="124"/>
    <d v="2568-12-30T00:00:00"/>
    <s v="ขาย"/>
    <s v="SVVM6812-008"/>
    <s v="คุณจันทร  สังข์สุวรรณ"/>
    <m/>
    <n v="65.42"/>
    <n v="-169317.82"/>
    <n v="-65.42"/>
  </r>
  <r>
    <n v="429"/>
    <x v="138"/>
    <d v="2568-12-30T00:00:00"/>
    <s v="ขาย"/>
    <s v="SVVM6812-008"/>
    <s v="คุณนันท์นภัส   สาโรวาท"/>
    <m/>
    <n v="196.26"/>
    <n v="-169514.08"/>
    <n v="-196.26"/>
  </r>
  <r>
    <n v="430"/>
    <x v="71"/>
    <d v="2568-12-30T00:00:00"/>
    <s v="ขาย"/>
    <s v="SVVM6812-008"/>
    <s v="คุณอมาวศรี  ยิ่งธนพิบูลย์"/>
    <m/>
    <n v="327.10000000000002"/>
    <n v="-169841.18"/>
    <n v="-327.10000000000002"/>
  </r>
  <r>
    <n v="431"/>
    <x v="123"/>
    <d v="2568-12-30T00:00:00"/>
    <s v="ขาย"/>
    <s v="SVVM6812-008"/>
    <s v="คุณรินทร์ลภัส  ปิจดี"/>
    <m/>
    <n v="196.26"/>
    <n v="-170037.44"/>
    <n v="-196.26"/>
  </r>
  <r>
    <n v="432"/>
    <x v="149"/>
    <d v="2568-12-30T00:00:00"/>
    <s v="ขาย"/>
    <s v="SVVM6812-008"/>
    <s v="คุณธีระพงษ์  ตันสิทธิพันธ์"/>
    <m/>
    <n v="196.26"/>
    <n v="-170233.7"/>
    <n v="-196.26"/>
  </r>
  <r>
    <n v="433"/>
    <x v="158"/>
    <d v="2568-12-30T00:00:00"/>
    <s v="ขาย"/>
    <s v="SVVM6812-008"/>
    <s v="คุณสุรจิต  เมธีวิทยา"/>
    <m/>
    <n v="327.10000000000002"/>
    <n v="-170560.8"/>
    <n v="-327.10000000000002"/>
  </r>
  <r>
    <n v="434"/>
    <x v="72"/>
    <d v="2568-12-30T00:00:00"/>
    <s v="ขาย"/>
    <s v="SVVM6812-008"/>
    <s v="คุณอาภรณ์  อิสมาแอล"/>
    <m/>
    <n v="196.26"/>
    <n v="-170757.06"/>
    <n v="-196.26"/>
  </r>
  <r>
    <n v="435"/>
    <x v="81"/>
    <d v="2568-12-30T00:00:00"/>
    <s v="ขาย"/>
    <s v="SVVM6812-008"/>
    <s v="คุณนารีรัตน์  คำภิระปาวงศ์"/>
    <m/>
    <n v="65.42"/>
    <n v="-170822.48"/>
    <n v="-65.42"/>
  </r>
  <r>
    <n v="436"/>
    <x v="136"/>
    <d v="2568-12-30T00:00:00"/>
    <s v="ขาย"/>
    <s v="SVVM6812-008"/>
    <s v="คุณจิดาภา  อริยพฤกษ์"/>
    <m/>
    <n v="196.26"/>
    <n v="-171018.74"/>
    <n v="-196.26"/>
  </r>
  <r>
    <n v="437"/>
    <x v="71"/>
    <d v="2568-12-31T00:00:00"/>
    <s v="รับ"/>
    <s v="RVEM6812-054"/>
    <s v="ฌTR-25120004 อมาวศรี ยิ่งธนพิบูลย์"/>
    <n v="5000"/>
    <m/>
    <n v="-166018.74"/>
    <n v="5000"/>
  </r>
  <r>
    <n v="438"/>
    <x v="72"/>
    <d v="2568-12-31T00:00:00"/>
    <s v="รับ"/>
    <s v="RVEM6812-055"/>
    <s v="ฌTR-25120005 อาภรณ์ อิสมาแอล"/>
    <n v="3000"/>
    <m/>
    <n v="-163018.74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4B155-EEE9-42C1-A26D-659D025B27A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" firstHeaderRow="1" firstDataRow="1" firstDataCol="1"/>
  <pivotFields count="10">
    <pivotField showAll="0"/>
    <pivotField axis="axisRow" showAll="0">
      <items count="354">
        <item m="1" x="351"/>
        <item x="33"/>
        <item m="1" x="348"/>
        <item m="1" x="249"/>
        <item m="1" x="250"/>
        <item m="1" x="251"/>
        <item x="0"/>
        <item m="1" x="347"/>
        <item x="1"/>
        <item x="2"/>
        <item x="3"/>
        <item x="4"/>
        <item m="1" x="346"/>
        <item x="5"/>
        <item x="6"/>
        <item x="7"/>
        <item x="8"/>
        <item x="9"/>
        <item m="1" x="345"/>
        <item x="10"/>
        <item m="1" x="344"/>
        <item x="11"/>
        <item m="1" x="343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342"/>
        <item x="23"/>
        <item x="24"/>
        <item x="30"/>
        <item x="31"/>
        <item m="1" x="341"/>
        <item x="32"/>
        <item m="1" x="349"/>
        <item x="34"/>
        <item x="35"/>
        <item x="36"/>
        <item x="25"/>
        <item x="26"/>
        <item x="27"/>
        <item x="28"/>
        <item x="29"/>
        <item x="70"/>
        <item m="1" x="237"/>
        <item m="1" x="235"/>
        <item x="73"/>
        <item m="1" x="248"/>
        <item m="1" x="247"/>
        <item m="1" x="211"/>
        <item m="1" x="246"/>
        <item m="1" x="210"/>
        <item m="1" x="209"/>
        <item m="1" x="208"/>
        <item m="1" x="322"/>
        <item m="1" x="278"/>
        <item m="1" x="290"/>
        <item m="1" x="257"/>
        <item m="1" x="274"/>
        <item m="1" x="261"/>
        <item m="1" x="245"/>
        <item m="1" x="213"/>
        <item m="1" x="207"/>
        <item m="1" x="206"/>
        <item m="1" x="229"/>
        <item m="1" x="205"/>
        <item m="1" x="204"/>
        <item m="1" x="203"/>
        <item m="1" x="306"/>
        <item m="1" x="270"/>
        <item m="1" x="223"/>
        <item x="165"/>
        <item m="1" x="280"/>
        <item m="1" x="231"/>
        <item x="166"/>
        <item m="1" x="308"/>
        <item m="1" x="267"/>
        <item m="1" x="338"/>
        <item m="1" x="324"/>
        <item m="1" x="202"/>
        <item m="1" x="350"/>
        <item m="1" x="318"/>
        <item m="1" x="255"/>
        <item m="1" x="243"/>
        <item m="1" x="225"/>
        <item m="1" x="201"/>
        <item m="1" x="200"/>
        <item m="1" x="259"/>
        <item m="1" x="310"/>
        <item m="1" x="199"/>
        <item m="1" x="327"/>
        <item m="1" x="198"/>
        <item m="1" x="197"/>
        <item m="1" x="282"/>
        <item m="1" x="313"/>
        <item m="1" x="329"/>
        <item m="1" x="288"/>
        <item m="1" x="320"/>
        <item m="1" x="196"/>
        <item m="1" x="234"/>
        <item m="1" x="227"/>
        <item m="1" x="195"/>
        <item m="1" x="194"/>
        <item m="1" x="193"/>
        <item m="1" x="265"/>
        <item m="1" x="272"/>
        <item m="1" x="263"/>
        <item m="1" x="294"/>
        <item m="1" x="332"/>
        <item m="1" x="192"/>
        <item m="1" x="276"/>
        <item m="1" x="334"/>
        <item m="1" x="191"/>
        <item m="1" x="190"/>
        <item m="1" x="212"/>
        <item m="1" x="189"/>
        <item m="1" x="188"/>
        <item m="1" x="314"/>
        <item m="1" x="216"/>
        <item m="1" x="352"/>
        <item m="1" x="187"/>
        <item m="1" x="242"/>
        <item m="1" x="186"/>
        <item m="1" x="304"/>
        <item m="1" x="185"/>
        <item m="1" x="292"/>
        <item m="1" x="184"/>
        <item m="1" x="311"/>
        <item x="164"/>
        <item m="1" x="183"/>
        <item m="1" x="298"/>
        <item m="1" x="302"/>
        <item m="1" x="214"/>
        <item m="1" x="182"/>
        <item m="1" x="181"/>
        <item m="1" x="180"/>
        <item m="1" x="179"/>
        <item m="1" x="286"/>
        <item m="1" x="178"/>
        <item m="1" x="177"/>
        <item m="1" x="340"/>
        <item m="1" x="240"/>
        <item m="1" x="176"/>
        <item m="1" x="253"/>
        <item m="1" x="175"/>
        <item m="1" x="284"/>
        <item m="1" x="174"/>
        <item m="1" x="173"/>
        <item m="1" x="238"/>
        <item m="1" x="239"/>
        <item m="1" x="172"/>
        <item m="1" x="296"/>
        <item m="1" x="236"/>
        <item x="163"/>
        <item m="1" x="244"/>
        <item x="68"/>
        <item m="1" x="336"/>
        <item x="77"/>
        <item m="1" x="241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269"/>
        <item x="61"/>
        <item x="62"/>
        <item x="63"/>
        <item x="64"/>
        <item m="1" x="339"/>
        <item x="65"/>
        <item x="66"/>
        <item x="67"/>
        <item x="69"/>
        <item x="71"/>
        <item x="72"/>
        <item x="74"/>
        <item m="1" x="337"/>
        <item x="75"/>
        <item m="1" x="333"/>
        <item x="76"/>
        <item m="1" x="331"/>
        <item m="1" x="309"/>
        <item x="78"/>
        <item m="1" x="330"/>
        <item x="79"/>
        <item m="1" x="328"/>
        <item m="1" x="315"/>
        <item x="80"/>
        <item m="1" x="291"/>
        <item m="1" x="233"/>
        <item x="81"/>
        <item m="1" x="326"/>
        <item m="1" x="232"/>
        <item x="82"/>
        <item x="83"/>
        <item m="1" x="323"/>
        <item x="84"/>
        <item m="1" x="321"/>
        <item x="85"/>
        <item x="86"/>
        <item m="1" x="319"/>
        <item x="87"/>
        <item m="1" x="317"/>
        <item x="88"/>
        <item x="89"/>
        <item x="90"/>
        <item x="91"/>
        <item x="92"/>
        <item m="1" x="264"/>
        <item x="93"/>
        <item m="1" x="316"/>
        <item x="94"/>
        <item m="1" x="230"/>
        <item x="95"/>
        <item m="1" x="228"/>
        <item x="96"/>
        <item x="97"/>
        <item m="1" x="301"/>
        <item x="98"/>
        <item m="1" x="307"/>
        <item x="99"/>
        <item m="1" x="226"/>
        <item x="100"/>
        <item x="101"/>
        <item x="102"/>
        <item x="103"/>
        <item m="1" x="305"/>
        <item x="104"/>
        <item x="105"/>
        <item m="1" x="312"/>
        <item m="1" x="297"/>
        <item x="106"/>
        <item x="107"/>
        <item m="1" x="215"/>
        <item x="108"/>
        <item m="1" x="293"/>
        <item x="109"/>
        <item m="1" x="295"/>
        <item m="1" x="289"/>
        <item x="110"/>
        <item x="111"/>
        <item m="1" x="287"/>
        <item x="112"/>
        <item m="1" x="285"/>
        <item x="113"/>
        <item m="1" x="283"/>
        <item x="114"/>
        <item m="1" x="281"/>
        <item x="117"/>
        <item m="1" x="277"/>
        <item x="115"/>
        <item x="118"/>
        <item m="1" x="279"/>
        <item x="116"/>
        <item m="1" x="224"/>
        <item x="119"/>
        <item x="120"/>
        <item x="121"/>
        <item x="122"/>
        <item x="124"/>
        <item m="1" x="273"/>
        <item x="123"/>
        <item m="1" x="275"/>
        <item x="125"/>
        <item x="126"/>
        <item x="127"/>
        <item x="128"/>
        <item x="129"/>
        <item x="130"/>
        <item x="131"/>
        <item x="132"/>
        <item m="1" x="268"/>
        <item m="1" x="271"/>
        <item x="133"/>
        <item x="134"/>
        <item m="1" x="300"/>
        <item x="135"/>
        <item m="1" x="262"/>
        <item x="136"/>
        <item m="1" x="260"/>
        <item x="137"/>
        <item x="138"/>
        <item m="1" x="258"/>
        <item x="141"/>
        <item x="142"/>
        <item x="143"/>
        <item m="1" x="256"/>
        <item x="144"/>
        <item x="145"/>
        <item x="146"/>
        <item x="147"/>
        <item x="148"/>
        <item x="149"/>
        <item m="1" x="254"/>
        <item x="150"/>
        <item m="1" x="303"/>
        <item x="151"/>
        <item x="152"/>
        <item x="153"/>
        <item x="154"/>
        <item x="155"/>
        <item x="156"/>
        <item x="157"/>
        <item x="158"/>
        <item m="1" x="252"/>
        <item x="159"/>
        <item x="160"/>
        <item x="161"/>
        <item x="162"/>
        <item x="139"/>
        <item x="140"/>
        <item m="1" x="266"/>
        <item m="1" x="325"/>
        <item m="1" x="171"/>
        <item m="1" x="170"/>
        <item m="1" x="219"/>
        <item m="1" x="169"/>
        <item m="1" x="218"/>
        <item m="1" x="220"/>
        <item m="1" x="168"/>
        <item m="1" x="299"/>
        <item m="1" x="167"/>
        <item m="1" x="217"/>
        <item m="1" x="222"/>
        <item m="1" x="335"/>
        <item m="1" x="221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4" showAll="0"/>
    <pivotField dataField="1" numFmtId="4" showAll="0"/>
  </pivotFields>
  <rowFields count="1">
    <field x="1"/>
  </rowFields>
  <rowItems count="168">
    <i>
      <x v="1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9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78"/>
    </i>
    <i>
      <x v="81"/>
    </i>
    <i>
      <x v="135"/>
    </i>
    <i>
      <x v="160"/>
    </i>
    <i>
      <x v="162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4"/>
    </i>
    <i>
      <x v="206"/>
    </i>
    <i>
      <x v="209"/>
    </i>
    <i>
      <x v="211"/>
    </i>
    <i>
      <x v="214"/>
    </i>
    <i>
      <x v="217"/>
    </i>
    <i>
      <x v="220"/>
    </i>
    <i>
      <x v="221"/>
    </i>
    <i>
      <x v="223"/>
    </i>
    <i>
      <x v="225"/>
    </i>
    <i>
      <x v="226"/>
    </i>
    <i>
      <x v="228"/>
    </i>
    <i>
      <x v="230"/>
    </i>
    <i>
      <x v="231"/>
    </i>
    <i>
      <x v="232"/>
    </i>
    <i>
      <x v="233"/>
    </i>
    <i>
      <x v="234"/>
    </i>
    <i>
      <x v="236"/>
    </i>
    <i>
      <x v="238"/>
    </i>
    <i>
      <x v="240"/>
    </i>
    <i>
      <x v="242"/>
    </i>
    <i>
      <x v="243"/>
    </i>
    <i>
      <x v="245"/>
    </i>
    <i>
      <x v="247"/>
    </i>
    <i>
      <x v="249"/>
    </i>
    <i>
      <x v="250"/>
    </i>
    <i>
      <x v="251"/>
    </i>
    <i>
      <x v="252"/>
    </i>
    <i>
      <x v="254"/>
    </i>
    <i>
      <x v="255"/>
    </i>
    <i>
      <x v="258"/>
    </i>
    <i>
      <x v="259"/>
    </i>
    <i>
      <x v="261"/>
    </i>
    <i>
      <x v="263"/>
    </i>
    <i>
      <x v="266"/>
    </i>
    <i>
      <x v="267"/>
    </i>
    <i>
      <x v="269"/>
    </i>
    <i>
      <x v="271"/>
    </i>
    <i>
      <x v="273"/>
    </i>
    <i>
      <x v="275"/>
    </i>
    <i>
      <x v="277"/>
    </i>
    <i>
      <x v="278"/>
    </i>
    <i>
      <x v="280"/>
    </i>
    <i>
      <x v="282"/>
    </i>
    <i>
      <x v="283"/>
    </i>
    <i>
      <x v="284"/>
    </i>
    <i>
      <x v="285"/>
    </i>
    <i>
      <x v="286"/>
    </i>
    <i>
      <x v="288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300"/>
    </i>
    <i>
      <x v="301"/>
    </i>
    <i>
      <x v="303"/>
    </i>
    <i>
      <x v="305"/>
    </i>
    <i>
      <x v="307"/>
    </i>
    <i>
      <x v="308"/>
    </i>
    <i>
      <x v="310"/>
    </i>
    <i>
      <x v="311"/>
    </i>
    <i>
      <x v="312"/>
    </i>
    <i>
      <x v="314"/>
    </i>
    <i>
      <x v="315"/>
    </i>
    <i>
      <x v="316"/>
    </i>
    <i>
      <x v="317"/>
    </i>
    <i>
      <x v="318"/>
    </i>
    <i>
      <x v="319"/>
    </i>
    <i>
      <x v="321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4"/>
    </i>
    <i>
      <x v="335"/>
    </i>
    <i>
      <x v="336"/>
    </i>
    <i>
      <x v="337"/>
    </i>
    <i t="grand">
      <x/>
    </i>
  </rowItems>
  <colItems count="1">
    <i/>
  </colItems>
  <dataFields count="1">
    <dataField name="Sum of Amount" fld="9" baseField="0" baseItem="0" numFmtId="4"/>
  </dataFields>
  <formats count="5">
    <format dxfId="4">
      <pivotArea collapsedLevelsAreSubtotals="1" fieldPosition="0">
        <references count="1">
          <reference field="1" count="1">
            <x v="260"/>
          </reference>
        </references>
      </pivotArea>
    </format>
    <format dxfId="3">
      <pivotArea dataOnly="0" labelOnly="1" fieldPosition="0">
        <references count="1">
          <reference field="1" count="9">
            <x v="50"/>
            <x v="53"/>
            <x v="56"/>
            <x v="58"/>
            <x v="59"/>
            <x v="60"/>
            <x v="68"/>
            <x v="69"/>
            <x v="70"/>
          </reference>
        </references>
      </pivotArea>
    </format>
    <format dxfId="2">
      <pivotArea dataOnly="0" labelOnly="1" fieldPosition="0">
        <references count="1">
          <reference field="1" count="1">
            <x v="14"/>
          </reference>
        </references>
      </pivotArea>
    </format>
    <format dxfId="1">
      <pivotArea dataOnly="0" labelOnly="1" fieldPosition="0">
        <references count="1">
          <reference field="1" count="1">
            <x v="24"/>
          </reference>
        </references>
      </pivotArea>
    </format>
    <format dxfId="0">
      <pivotArea collapsedLevelsAreSubtotals="1" fieldPosition="0">
        <references count="1">
          <reference field="1" count="1">
            <x v="2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A324-B91E-417F-AD44-F3A8A208D7F2}">
  <dimension ref="A1:I453"/>
  <sheetViews>
    <sheetView tabSelected="1" workbookViewId="0">
      <selection activeCell="O23" sqref="O23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111403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111403</v>
      </c>
      <c r="C6" t="s">
        <v>17</v>
      </c>
      <c r="I6">
        <v>0</v>
      </c>
    </row>
    <row r="7" spans="1:9" x14ac:dyDescent="0.2">
      <c r="A7" s="1">
        <v>244253</v>
      </c>
      <c r="B7" t="s">
        <v>18</v>
      </c>
      <c r="C7" t="s">
        <v>19</v>
      </c>
      <c r="D7" t="s">
        <v>20</v>
      </c>
      <c r="G7">
        <v>4672.8999999999996</v>
      </c>
      <c r="I7">
        <v>-4672.8999999999996</v>
      </c>
    </row>
    <row r="8" spans="1:9" x14ac:dyDescent="0.2">
      <c r="A8" s="1">
        <v>244256</v>
      </c>
      <c r="B8" t="s">
        <v>18</v>
      </c>
      <c r="C8" t="s">
        <v>21</v>
      </c>
      <c r="D8" t="s">
        <v>22</v>
      </c>
      <c r="G8">
        <v>4672.8999999999996</v>
      </c>
      <c r="I8">
        <v>-9345.7999999999993</v>
      </c>
    </row>
    <row r="9" spans="1:9" x14ac:dyDescent="0.2">
      <c r="A9" s="1">
        <v>244257</v>
      </c>
      <c r="B9" t="s">
        <v>18</v>
      </c>
      <c r="C9" t="s">
        <v>23</v>
      </c>
      <c r="D9" t="s">
        <v>24</v>
      </c>
      <c r="F9">
        <v>4672.8999999999996</v>
      </c>
      <c r="I9">
        <v>-4672.8999999999996</v>
      </c>
    </row>
    <row r="10" spans="1:9" x14ac:dyDescent="0.2">
      <c r="A10" s="1">
        <v>244257</v>
      </c>
      <c r="B10" t="s">
        <v>18</v>
      </c>
      <c r="C10" t="s">
        <v>25</v>
      </c>
      <c r="D10" t="s">
        <v>26</v>
      </c>
      <c r="G10">
        <v>4672.8999999999996</v>
      </c>
      <c r="I10">
        <v>-9345.7999999999993</v>
      </c>
    </row>
    <row r="11" spans="1:9" x14ac:dyDescent="0.2">
      <c r="A11" s="1">
        <v>244259</v>
      </c>
      <c r="B11" t="s">
        <v>18</v>
      </c>
      <c r="C11" t="s">
        <v>27</v>
      </c>
      <c r="D11" t="s">
        <v>28</v>
      </c>
      <c r="G11">
        <v>9345.7900000000009</v>
      </c>
      <c r="I11">
        <v>-18691.59</v>
      </c>
    </row>
    <row r="12" spans="1:9" x14ac:dyDescent="0.2">
      <c r="A12" s="1">
        <v>244264</v>
      </c>
      <c r="B12" t="s">
        <v>18</v>
      </c>
      <c r="C12" t="s">
        <v>29</v>
      </c>
      <c r="D12" t="s">
        <v>30</v>
      </c>
      <c r="G12">
        <v>2803.74</v>
      </c>
      <c r="I12">
        <v>-21495.33</v>
      </c>
    </row>
    <row r="13" spans="1:9" x14ac:dyDescent="0.2">
      <c r="A13" s="1">
        <v>244264</v>
      </c>
      <c r="B13" t="s">
        <v>18</v>
      </c>
      <c r="C13" t="s">
        <v>29</v>
      </c>
      <c r="D13" t="s">
        <v>31</v>
      </c>
      <c r="G13">
        <v>4672.8999999999996</v>
      </c>
      <c r="I13">
        <v>-26168.23</v>
      </c>
    </row>
    <row r="14" spans="1:9" x14ac:dyDescent="0.2">
      <c r="A14" s="1">
        <v>244264</v>
      </c>
      <c r="B14" t="s">
        <v>18</v>
      </c>
      <c r="C14" t="s">
        <v>29</v>
      </c>
      <c r="D14" t="s">
        <v>32</v>
      </c>
      <c r="G14">
        <v>1869.16</v>
      </c>
      <c r="I14">
        <v>-28037.39</v>
      </c>
    </row>
    <row r="15" spans="1:9" x14ac:dyDescent="0.2">
      <c r="A15" s="1">
        <v>244264</v>
      </c>
      <c r="B15" t="s">
        <v>18</v>
      </c>
      <c r="C15" t="s">
        <v>29</v>
      </c>
      <c r="D15" t="s">
        <v>33</v>
      </c>
      <c r="G15">
        <v>2803.74</v>
      </c>
      <c r="I15">
        <v>-30841.13</v>
      </c>
    </row>
    <row r="16" spans="1:9" x14ac:dyDescent="0.2">
      <c r="A16" s="1">
        <v>244265</v>
      </c>
      <c r="B16" t="s">
        <v>18</v>
      </c>
      <c r="C16" t="s">
        <v>34</v>
      </c>
      <c r="D16" t="s">
        <v>35</v>
      </c>
      <c r="F16">
        <v>4672.8999999999996</v>
      </c>
      <c r="I16">
        <v>-26168.23</v>
      </c>
    </row>
    <row r="17" spans="1:9" x14ac:dyDescent="0.2">
      <c r="A17" s="1">
        <v>244265</v>
      </c>
      <c r="B17" t="s">
        <v>18</v>
      </c>
      <c r="C17" t="s">
        <v>36</v>
      </c>
      <c r="D17" t="s">
        <v>28</v>
      </c>
      <c r="F17">
        <v>9345.7900000000009</v>
      </c>
      <c r="I17">
        <v>-16822.439999999999</v>
      </c>
    </row>
    <row r="18" spans="1:9" x14ac:dyDescent="0.2">
      <c r="A18" s="1">
        <v>244265</v>
      </c>
      <c r="B18" t="s">
        <v>18</v>
      </c>
      <c r="C18" t="s">
        <v>36</v>
      </c>
      <c r="D18" t="s">
        <v>37</v>
      </c>
      <c r="G18">
        <v>2803.74</v>
      </c>
      <c r="I18">
        <v>-19626.18</v>
      </c>
    </row>
    <row r="19" spans="1:9" x14ac:dyDescent="0.2">
      <c r="A19" s="1">
        <v>244266</v>
      </c>
      <c r="B19" t="s">
        <v>18</v>
      </c>
      <c r="C19" t="s">
        <v>38</v>
      </c>
      <c r="D19" t="s">
        <v>39</v>
      </c>
      <c r="G19">
        <v>4672.8999999999996</v>
      </c>
      <c r="I19">
        <v>-24299.08</v>
      </c>
    </row>
    <row r="20" spans="1:9" x14ac:dyDescent="0.2">
      <c r="A20" s="1">
        <v>244266</v>
      </c>
      <c r="B20" t="s">
        <v>18</v>
      </c>
      <c r="C20" t="s">
        <v>38</v>
      </c>
      <c r="D20" t="s">
        <v>40</v>
      </c>
      <c r="G20">
        <v>934.58</v>
      </c>
      <c r="I20">
        <v>-25233.66</v>
      </c>
    </row>
    <row r="21" spans="1:9" x14ac:dyDescent="0.2">
      <c r="A21" s="1">
        <v>244267</v>
      </c>
      <c r="B21" t="s">
        <v>18</v>
      </c>
      <c r="C21" t="s">
        <v>41</v>
      </c>
      <c r="D21" t="s">
        <v>26</v>
      </c>
      <c r="F21">
        <v>4672.8999999999996</v>
      </c>
      <c r="I21">
        <v>-20560.759999999998</v>
      </c>
    </row>
    <row r="22" spans="1:9" x14ac:dyDescent="0.2">
      <c r="A22" s="1">
        <v>244272</v>
      </c>
      <c r="B22" t="s">
        <v>18</v>
      </c>
      <c r="C22" t="s">
        <v>42</v>
      </c>
      <c r="D22" t="s">
        <v>43</v>
      </c>
      <c r="F22">
        <v>4672.8999999999996</v>
      </c>
      <c r="I22">
        <v>-15887.86</v>
      </c>
    </row>
    <row r="23" spans="1:9" x14ac:dyDescent="0.2">
      <c r="A23" s="1">
        <v>244272</v>
      </c>
      <c r="B23" t="s">
        <v>18</v>
      </c>
      <c r="C23" t="s">
        <v>44</v>
      </c>
      <c r="D23" t="s">
        <v>22</v>
      </c>
      <c r="F23">
        <v>4672.8999999999996</v>
      </c>
      <c r="I23">
        <v>-11214.96</v>
      </c>
    </row>
    <row r="24" spans="1:9" x14ac:dyDescent="0.2">
      <c r="A24" s="1">
        <v>244272</v>
      </c>
      <c r="B24" t="s">
        <v>18</v>
      </c>
      <c r="C24" t="s">
        <v>45</v>
      </c>
      <c r="D24" t="s">
        <v>46</v>
      </c>
      <c r="G24">
        <v>9345.7900000000009</v>
      </c>
      <c r="I24">
        <v>-20560.75</v>
      </c>
    </row>
    <row r="25" spans="1:9" x14ac:dyDescent="0.2">
      <c r="A25" s="1">
        <v>244272</v>
      </c>
      <c r="B25" t="s">
        <v>18</v>
      </c>
      <c r="C25" t="s">
        <v>45</v>
      </c>
      <c r="D25" t="s">
        <v>47</v>
      </c>
      <c r="G25">
        <v>4672.8999999999996</v>
      </c>
      <c r="I25">
        <v>-25233.65</v>
      </c>
    </row>
    <row r="26" spans="1:9" x14ac:dyDescent="0.2">
      <c r="A26" s="1">
        <v>244272</v>
      </c>
      <c r="B26" t="s">
        <v>18</v>
      </c>
      <c r="C26" t="s">
        <v>45</v>
      </c>
      <c r="D26" t="s">
        <v>48</v>
      </c>
      <c r="G26">
        <v>2803.74</v>
      </c>
      <c r="I26">
        <v>-28037.39</v>
      </c>
    </row>
    <row r="27" spans="1:9" x14ac:dyDescent="0.2">
      <c r="A27" s="1">
        <v>244274</v>
      </c>
      <c r="B27" t="s">
        <v>18</v>
      </c>
      <c r="C27" t="s">
        <v>49</v>
      </c>
      <c r="D27" t="s">
        <v>50</v>
      </c>
      <c r="G27">
        <v>2803.74</v>
      </c>
      <c r="I27">
        <v>-30841.13</v>
      </c>
    </row>
    <row r="28" spans="1:9" x14ac:dyDescent="0.2">
      <c r="A28" s="1">
        <v>244278</v>
      </c>
      <c r="B28" t="s">
        <v>18</v>
      </c>
      <c r="C28" t="s">
        <v>51</v>
      </c>
      <c r="D28" t="s">
        <v>33</v>
      </c>
      <c r="F28">
        <v>2803.74</v>
      </c>
      <c r="I28">
        <v>-28037.39</v>
      </c>
    </row>
    <row r="29" spans="1:9" x14ac:dyDescent="0.2">
      <c r="A29" s="1">
        <v>244278</v>
      </c>
      <c r="B29" t="s">
        <v>18</v>
      </c>
      <c r="C29" t="s">
        <v>52</v>
      </c>
      <c r="D29" t="s">
        <v>53</v>
      </c>
      <c r="G29">
        <v>2803.74</v>
      </c>
      <c r="I29">
        <v>-30841.13</v>
      </c>
    </row>
    <row r="30" spans="1:9" x14ac:dyDescent="0.2">
      <c r="A30" s="1">
        <v>244278</v>
      </c>
      <c r="B30" t="s">
        <v>18</v>
      </c>
      <c r="C30" t="s">
        <v>52</v>
      </c>
      <c r="D30" t="s">
        <v>54</v>
      </c>
      <c r="G30">
        <v>32710.28</v>
      </c>
      <c r="I30">
        <v>-63551.41</v>
      </c>
    </row>
    <row r="31" spans="1:9" x14ac:dyDescent="0.2">
      <c r="A31" s="1">
        <v>244279</v>
      </c>
      <c r="B31" t="s">
        <v>18</v>
      </c>
      <c r="C31" t="s">
        <v>55</v>
      </c>
      <c r="D31" t="s">
        <v>31</v>
      </c>
      <c r="F31">
        <v>4672.8999999999996</v>
      </c>
      <c r="I31">
        <v>-58878.51</v>
      </c>
    </row>
    <row r="32" spans="1:9" x14ac:dyDescent="0.2">
      <c r="A32" s="1">
        <v>244281</v>
      </c>
      <c r="B32" t="s">
        <v>18</v>
      </c>
      <c r="C32" t="s">
        <v>56</v>
      </c>
      <c r="D32" t="s">
        <v>57</v>
      </c>
      <c r="F32">
        <v>9345.7900000000009</v>
      </c>
      <c r="I32">
        <v>-49532.72</v>
      </c>
    </row>
    <row r="33" spans="1:9" x14ac:dyDescent="0.2">
      <c r="A33" s="1">
        <v>244282</v>
      </c>
      <c r="B33" t="s">
        <v>18</v>
      </c>
      <c r="C33" t="s">
        <v>58</v>
      </c>
      <c r="D33" t="s">
        <v>59</v>
      </c>
      <c r="G33">
        <v>4672.8999999999996</v>
      </c>
      <c r="I33">
        <v>-54205.62</v>
      </c>
    </row>
    <row r="34" spans="1:9" x14ac:dyDescent="0.2">
      <c r="A34" s="1">
        <v>244284</v>
      </c>
      <c r="B34" t="s">
        <v>60</v>
      </c>
      <c r="C34" t="s">
        <v>61</v>
      </c>
      <c r="D34" t="s">
        <v>62</v>
      </c>
      <c r="F34">
        <v>4672.8999999999996</v>
      </c>
      <c r="I34">
        <v>-49532.72</v>
      </c>
    </row>
    <row r="35" spans="1:9" x14ac:dyDescent="0.2">
      <c r="A35" s="1">
        <v>244284</v>
      </c>
      <c r="B35" t="s">
        <v>60</v>
      </c>
      <c r="C35" t="s">
        <v>61</v>
      </c>
      <c r="D35" t="s">
        <v>63</v>
      </c>
      <c r="F35">
        <v>4672.8999999999996</v>
      </c>
      <c r="I35">
        <v>-44859.82</v>
      </c>
    </row>
    <row r="36" spans="1:9" x14ac:dyDescent="0.2">
      <c r="A36" s="1">
        <v>244284</v>
      </c>
      <c r="B36" t="s">
        <v>60</v>
      </c>
      <c r="C36" t="s">
        <v>61</v>
      </c>
      <c r="D36" t="s">
        <v>64</v>
      </c>
      <c r="F36">
        <v>2803.74</v>
      </c>
      <c r="I36">
        <v>-42056.08</v>
      </c>
    </row>
    <row r="37" spans="1:9" x14ac:dyDescent="0.2">
      <c r="A37" s="1">
        <v>244285</v>
      </c>
      <c r="B37" t="s">
        <v>18</v>
      </c>
      <c r="C37" t="s">
        <v>65</v>
      </c>
      <c r="D37" t="s">
        <v>47</v>
      </c>
      <c r="F37">
        <v>4672.8999999999996</v>
      </c>
      <c r="I37">
        <v>-37383.18</v>
      </c>
    </row>
    <row r="38" spans="1:9" x14ac:dyDescent="0.2">
      <c r="A38" s="1">
        <v>244285</v>
      </c>
      <c r="B38" t="s">
        <v>18</v>
      </c>
      <c r="C38" t="s">
        <v>66</v>
      </c>
      <c r="D38" t="s">
        <v>67</v>
      </c>
      <c r="G38">
        <v>56074.77</v>
      </c>
      <c r="I38">
        <v>-93457.95</v>
      </c>
    </row>
    <row r="39" spans="1:9" x14ac:dyDescent="0.2">
      <c r="A39" s="1">
        <v>244286</v>
      </c>
      <c r="B39" t="s">
        <v>18</v>
      </c>
      <c r="C39" t="s">
        <v>68</v>
      </c>
      <c r="D39" t="s">
        <v>69</v>
      </c>
      <c r="G39">
        <v>4672.8999999999996</v>
      </c>
      <c r="I39">
        <v>-98130.85</v>
      </c>
    </row>
    <row r="40" spans="1:9" x14ac:dyDescent="0.2">
      <c r="A40" s="1">
        <v>244286</v>
      </c>
      <c r="B40" t="s">
        <v>18</v>
      </c>
      <c r="C40" t="s">
        <v>68</v>
      </c>
      <c r="D40" t="s">
        <v>70</v>
      </c>
      <c r="G40">
        <v>2803.74</v>
      </c>
      <c r="I40">
        <v>-100934.59</v>
      </c>
    </row>
    <row r="41" spans="1:9" x14ac:dyDescent="0.2">
      <c r="A41" s="1">
        <v>244286</v>
      </c>
      <c r="B41" t="s">
        <v>18</v>
      </c>
      <c r="C41" t="s">
        <v>68</v>
      </c>
      <c r="D41" t="s">
        <v>71</v>
      </c>
      <c r="G41">
        <v>2803.74</v>
      </c>
      <c r="I41">
        <v>-103738.33</v>
      </c>
    </row>
    <row r="42" spans="1:9" x14ac:dyDescent="0.2">
      <c r="A42" s="1">
        <v>244286</v>
      </c>
      <c r="B42" t="s">
        <v>18</v>
      </c>
      <c r="C42" t="s">
        <v>68</v>
      </c>
      <c r="D42" t="s">
        <v>72</v>
      </c>
      <c r="G42">
        <v>4672.8999999999996</v>
      </c>
      <c r="I42">
        <v>-108411.23</v>
      </c>
    </row>
    <row r="43" spans="1:9" x14ac:dyDescent="0.2">
      <c r="A43" s="1">
        <v>244287</v>
      </c>
      <c r="B43" t="s">
        <v>18</v>
      </c>
      <c r="C43" t="s">
        <v>73</v>
      </c>
      <c r="D43" t="s">
        <v>74</v>
      </c>
      <c r="G43">
        <v>28037.38</v>
      </c>
      <c r="I43">
        <v>-136448.60999999999</v>
      </c>
    </row>
    <row r="44" spans="1:9" x14ac:dyDescent="0.2">
      <c r="A44" s="1">
        <v>244288</v>
      </c>
      <c r="B44" t="s">
        <v>18</v>
      </c>
      <c r="C44" t="s">
        <v>75</v>
      </c>
      <c r="D44" t="s">
        <v>76</v>
      </c>
      <c r="F44">
        <v>934.58</v>
      </c>
      <c r="I44">
        <v>-135514.03</v>
      </c>
    </row>
    <row r="45" spans="1:9" x14ac:dyDescent="0.2">
      <c r="A45" s="1">
        <v>244288</v>
      </c>
      <c r="B45" t="s">
        <v>18</v>
      </c>
      <c r="C45" t="s">
        <v>77</v>
      </c>
      <c r="D45" t="s">
        <v>53</v>
      </c>
      <c r="F45">
        <v>2803.74</v>
      </c>
      <c r="I45">
        <v>-132710.29</v>
      </c>
    </row>
    <row r="46" spans="1:9" x14ac:dyDescent="0.2">
      <c r="A46" s="1">
        <v>244288</v>
      </c>
      <c r="B46" t="s">
        <v>18</v>
      </c>
      <c r="C46" t="s">
        <v>77</v>
      </c>
      <c r="D46" t="s">
        <v>78</v>
      </c>
      <c r="G46">
        <v>1869.16</v>
      </c>
      <c r="I46">
        <v>-134579.45000000001</v>
      </c>
    </row>
    <row r="47" spans="1:9" x14ac:dyDescent="0.2">
      <c r="A47" s="1">
        <v>244288</v>
      </c>
      <c r="B47" t="s">
        <v>18</v>
      </c>
      <c r="C47" t="s">
        <v>77</v>
      </c>
      <c r="D47" t="s">
        <v>69</v>
      </c>
      <c r="F47">
        <v>4672.8999999999996</v>
      </c>
      <c r="I47">
        <v>-129906.55</v>
      </c>
    </row>
    <row r="48" spans="1:9" x14ac:dyDescent="0.2">
      <c r="A48" s="1">
        <v>244288</v>
      </c>
      <c r="B48" t="s">
        <v>18</v>
      </c>
      <c r="C48" t="s">
        <v>77</v>
      </c>
      <c r="D48" t="s">
        <v>67</v>
      </c>
      <c r="F48">
        <v>56074.77</v>
      </c>
      <c r="I48">
        <v>-73831.78</v>
      </c>
    </row>
    <row r="49" spans="1:9" x14ac:dyDescent="0.2">
      <c r="A49" s="1">
        <v>244291</v>
      </c>
      <c r="B49" t="s">
        <v>18</v>
      </c>
      <c r="C49" t="s">
        <v>79</v>
      </c>
      <c r="D49" t="s">
        <v>80</v>
      </c>
      <c r="G49">
        <v>4672.8999999999996</v>
      </c>
      <c r="I49">
        <v>-78504.679999999993</v>
      </c>
    </row>
    <row r="50" spans="1:9" x14ac:dyDescent="0.2">
      <c r="A50" s="1">
        <v>244291</v>
      </c>
      <c r="B50" t="s">
        <v>18</v>
      </c>
      <c r="C50" t="s">
        <v>79</v>
      </c>
      <c r="D50" t="s">
        <v>81</v>
      </c>
      <c r="G50">
        <v>4672.8999999999996</v>
      </c>
      <c r="I50">
        <v>-83177.58</v>
      </c>
    </row>
    <row r="51" spans="1:9" x14ac:dyDescent="0.2">
      <c r="A51" s="1">
        <v>244291</v>
      </c>
      <c r="B51" t="s">
        <v>18</v>
      </c>
      <c r="C51" t="s">
        <v>79</v>
      </c>
      <c r="D51" t="s">
        <v>82</v>
      </c>
      <c r="G51">
        <v>28037.38</v>
      </c>
      <c r="I51">
        <v>-111214.96</v>
      </c>
    </row>
    <row r="52" spans="1:9" x14ac:dyDescent="0.2">
      <c r="A52" s="1">
        <v>244291</v>
      </c>
      <c r="B52" t="s">
        <v>18</v>
      </c>
      <c r="C52" t="s">
        <v>79</v>
      </c>
      <c r="D52" t="s">
        <v>83</v>
      </c>
      <c r="G52">
        <v>4672.8999999999996</v>
      </c>
      <c r="I52">
        <v>-115887.86</v>
      </c>
    </row>
    <row r="53" spans="1:9" x14ac:dyDescent="0.2">
      <c r="A53" s="1">
        <v>244291</v>
      </c>
      <c r="B53" t="s">
        <v>18</v>
      </c>
      <c r="C53" t="s">
        <v>79</v>
      </c>
      <c r="D53" t="s">
        <v>84</v>
      </c>
      <c r="G53">
        <v>4672.8999999999996</v>
      </c>
      <c r="I53">
        <v>-120560.76</v>
      </c>
    </row>
    <row r="54" spans="1:9" x14ac:dyDescent="0.2">
      <c r="A54" s="1">
        <v>244292</v>
      </c>
      <c r="B54" t="s">
        <v>18</v>
      </c>
      <c r="C54" t="s">
        <v>85</v>
      </c>
      <c r="D54" t="s">
        <v>86</v>
      </c>
      <c r="G54">
        <v>4672.8999999999996</v>
      </c>
      <c r="I54">
        <v>-125233.66</v>
      </c>
    </row>
    <row r="55" spans="1:9" x14ac:dyDescent="0.2">
      <c r="A55" s="1">
        <v>244292</v>
      </c>
      <c r="B55" t="s">
        <v>18</v>
      </c>
      <c r="C55" t="s">
        <v>85</v>
      </c>
      <c r="D55" t="s">
        <v>87</v>
      </c>
      <c r="G55">
        <v>2803.74</v>
      </c>
      <c r="I55">
        <v>-128037.4</v>
      </c>
    </row>
    <row r="56" spans="1:9" x14ac:dyDescent="0.2">
      <c r="A56" s="1">
        <v>244292</v>
      </c>
      <c r="B56" t="s">
        <v>18</v>
      </c>
      <c r="C56" t="s">
        <v>85</v>
      </c>
      <c r="D56" t="s">
        <v>88</v>
      </c>
      <c r="G56">
        <v>4672.8999999999996</v>
      </c>
      <c r="I56">
        <v>-132710.29999999999</v>
      </c>
    </row>
    <row r="57" spans="1:9" x14ac:dyDescent="0.2">
      <c r="A57" s="1">
        <v>244292</v>
      </c>
      <c r="B57" t="s">
        <v>18</v>
      </c>
      <c r="C57" t="s">
        <v>85</v>
      </c>
      <c r="D57" t="s">
        <v>89</v>
      </c>
      <c r="G57">
        <v>4672.8999999999996</v>
      </c>
      <c r="I57">
        <v>-137383.20000000001</v>
      </c>
    </row>
    <row r="58" spans="1:9" x14ac:dyDescent="0.2">
      <c r="A58" s="1">
        <v>244292</v>
      </c>
      <c r="B58" t="s">
        <v>18</v>
      </c>
      <c r="C58" t="s">
        <v>85</v>
      </c>
      <c r="D58" t="s">
        <v>90</v>
      </c>
      <c r="G58">
        <v>4672.8999999999996</v>
      </c>
      <c r="I58">
        <v>-142056.1</v>
      </c>
    </row>
    <row r="59" spans="1:9" x14ac:dyDescent="0.2">
      <c r="A59" s="1">
        <v>244293</v>
      </c>
      <c r="B59" t="s">
        <v>18</v>
      </c>
      <c r="C59" t="s">
        <v>91</v>
      </c>
      <c r="D59" t="s">
        <v>92</v>
      </c>
      <c r="G59">
        <v>934.58</v>
      </c>
      <c r="I59">
        <v>-142990.68</v>
      </c>
    </row>
    <row r="60" spans="1:9" x14ac:dyDescent="0.2">
      <c r="A60" s="1">
        <v>244293</v>
      </c>
      <c r="B60" t="s">
        <v>18</v>
      </c>
      <c r="C60" t="s">
        <v>91</v>
      </c>
      <c r="D60" t="s">
        <v>93</v>
      </c>
      <c r="G60">
        <v>18691.59</v>
      </c>
      <c r="I60">
        <v>-161682.26999999999</v>
      </c>
    </row>
    <row r="61" spans="1:9" x14ac:dyDescent="0.2">
      <c r="A61" s="1">
        <v>244293</v>
      </c>
      <c r="B61" t="s">
        <v>18</v>
      </c>
      <c r="C61" t="s">
        <v>91</v>
      </c>
      <c r="D61" t="s">
        <v>54</v>
      </c>
      <c r="F61">
        <v>32710.28</v>
      </c>
      <c r="I61">
        <v>-128971.99</v>
      </c>
    </row>
    <row r="62" spans="1:9" x14ac:dyDescent="0.2">
      <c r="A62" s="1">
        <v>244293</v>
      </c>
      <c r="B62" t="s">
        <v>18</v>
      </c>
      <c r="C62" t="s">
        <v>91</v>
      </c>
      <c r="D62" t="s">
        <v>82</v>
      </c>
      <c r="F62">
        <v>28037.38</v>
      </c>
      <c r="I62">
        <v>-100934.61</v>
      </c>
    </row>
    <row r="63" spans="1:9" x14ac:dyDescent="0.2">
      <c r="A63" s="1">
        <v>244294</v>
      </c>
      <c r="B63" t="s">
        <v>18</v>
      </c>
      <c r="C63" t="s">
        <v>94</v>
      </c>
      <c r="D63" t="s">
        <v>95</v>
      </c>
      <c r="G63">
        <v>28037.38</v>
      </c>
      <c r="I63">
        <v>-128971.99</v>
      </c>
    </row>
    <row r="64" spans="1:9" x14ac:dyDescent="0.2">
      <c r="A64" s="1">
        <v>244295</v>
      </c>
      <c r="B64" t="s">
        <v>18</v>
      </c>
      <c r="C64" t="s">
        <v>96</v>
      </c>
      <c r="D64" t="s">
        <v>93</v>
      </c>
      <c r="F64">
        <v>18691.59</v>
      </c>
      <c r="I64">
        <v>-110280.4</v>
      </c>
    </row>
    <row r="65" spans="1:9" x14ac:dyDescent="0.2">
      <c r="A65" s="1">
        <v>244295</v>
      </c>
      <c r="B65" t="s">
        <v>18</v>
      </c>
      <c r="C65" t="s">
        <v>96</v>
      </c>
      <c r="D65" t="s">
        <v>88</v>
      </c>
      <c r="F65">
        <v>4672.8999999999996</v>
      </c>
      <c r="I65">
        <v>-105607.5</v>
      </c>
    </row>
    <row r="66" spans="1:9" x14ac:dyDescent="0.2">
      <c r="A66" s="1">
        <v>244295</v>
      </c>
      <c r="B66" t="s">
        <v>18</v>
      </c>
      <c r="C66" t="s">
        <v>96</v>
      </c>
      <c r="D66" t="s">
        <v>97</v>
      </c>
      <c r="G66">
        <v>2803.74</v>
      </c>
      <c r="I66">
        <v>-108411.24</v>
      </c>
    </row>
    <row r="67" spans="1:9" x14ac:dyDescent="0.2">
      <c r="A67" s="1">
        <v>244296</v>
      </c>
      <c r="B67" t="s">
        <v>18</v>
      </c>
      <c r="C67" t="s">
        <v>98</v>
      </c>
      <c r="D67" t="s">
        <v>95</v>
      </c>
      <c r="F67">
        <v>28037.38</v>
      </c>
      <c r="I67">
        <v>-80373.86</v>
      </c>
    </row>
    <row r="68" spans="1:9" x14ac:dyDescent="0.2">
      <c r="A68" s="1">
        <v>244296</v>
      </c>
      <c r="B68" t="s">
        <v>18</v>
      </c>
      <c r="C68" t="s">
        <v>98</v>
      </c>
      <c r="D68" t="s">
        <v>99</v>
      </c>
      <c r="G68">
        <v>1869.16</v>
      </c>
      <c r="I68">
        <v>-82243.02</v>
      </c>
    </row>
    <row r="69" spans="1:9" x14ac:dyDescent="0.2">
      <c r="A69" s="1">
        <v>244298</v>
      </c>
      <c r="B69" t="s">
        <v>18</v>
      </c>
      <c r="C69" t="s">
        <v>100</v>
      </c>
      <c r="D69" t="s">
        <v>101</v>
      </c>
      <c r="G69">
        <v>2803.74</v>
      </c>
      <c r="I69">
        <v>-85046.76</v>
      </c>
    </row>
    <row r="70" spans="1:9" x14ac:dyDescent="0.2">
      <c r="A70" s="1">
        <v>244298</v>
      </c>
      <c r="B70" t="s">
        <v>18</v>
      </c>
      <c r="C70" t="s">
        <v>100</v>
      </c>
      <c r="D70" t="s">
        <v>59</v>
      </c>
      <c r="F70">
        <v>4672.8999999999996</v>
      </c>
      <c r="I70">
        <v>-80373.86</v>
      </c>
    </row>
    <row r="71" spans="1:9" x14ac:dyDescent="0.2">
      <c r="A71" s="1">
        <v>244298</v>
      </c>
      <c r="B71" t="s">
        <v>18</v>
      </c>
      <c r="C71" t="s">
        <v>100</v>
      </c>
      <c r="D71" t="s">
        <v>74</v>
      </c>
      <c r="F71">
        <v>28037.38</v>
      </c>
      <c r="I71">
        <v>-52336.480000000003</v>
      </c>
    </row>
    <row r="72" spans="1:9" x14ac:dyDescent="0.2">
      <c r="A72" s="1">
        <v>244298</v>
      </c>
      <c r="B72" t="s">
        <v>18</v>
      </c>
      <c r="C72" t="s">
        <v>100</v>
      </c>
      <c r="D72" t="s">
        <v>102</v>
      </c>
      <c r="G72">
        <v>28037.38</v>
      </c>
      <c r="I72">
        <v>-80373.86</v>
      </c>
    </row>
    <row r="73" spans="1:9" x14ac:dyDescent="0.2">
      <c r="A73" s="1">
        <v>244298</v>
      </c>
      <c r="B73" t="s">
        <v>18</v>
      </c>
      <c r="C73" t="s">
        <v>100</v>
      </c>
      <c r="D73" t="s">
        <v>103</v>
      </c>
      <c r="G73">
        <v>4672.8999999999996</v>
      </c>
      <c r="I73">
        <v>-85046.76</v>
      </c>
    </row>
    <row r="74" spans="1:9" x14ac:dyDescent="0.2">
      <c r="A74" s="1">
        <v>244298</v>
      </c>
      <c r="B74" t="s">
        <v>18</v>
      </c>
      <c r="C74" t="s">
        <v>100</v>
      </c>
      <c r="D74" t="s">
        <v>104</v>
      </c>
      <c r="G74">
        <v>2803.74</v>
      </c>
      <c r="I74">
        <v>-87850.5</v>
      </c>
    </row>
    <row r="75" spans="1:9" x14ac:dyDescent="0.2">
      <c r="A75" s="1">
        <v>244298</v>
      </c>
      <c r="B75" t="s">
        <v>18</v>
      </c>
      <c r="C75" t="s">
        <v>100</v>
      </c>
      <c r="D75" t="s">
        <v>105</v>
      </c>
      <c r="G75">
        <v>4672.8999999999996</v>
      </c>
      <c r="I75">
        <v>-92523.4</v>
      </c>
    </row>
    <row r="76" spans="1:9" x14ac:dyDescent="0.2">
      <c r="A76" s="1">
        <v>244299</v>
      </c>
      <c r="B76" t="s">
        <v>18</v>
      </c>
      <c r="C76" t="s">
        <v>106</v>
      </c>
      <c r="D76" t="s">
        <v>107</v>
      </c>
      <c r="G76">
        <v>28037.38</v>
      </c>
      <c r="I76">
        <v>-120560.78</v>
      </c>
    </row>
    <row r="77" spans="1:9" x14ac:dyDescent="0.2">
      <c r="A77" s="1">
        <v>244302</v>
      </c>
      <c r="B77" t="s">
        <v>18</v>
      </c>
      <c r="C77" t="s">
        <v>108</v>
      </c>
      <c r="D77" t="s">
        <v>107</v>
      </c>
      <c r="F77">
        <v>28037.38</v>
      </c>
      <c r="I77">
        <v>-92523.4</v>
      </c>
    </row>
    <row r="78" spans="1:9" x14ac:dyDescent="0.2">
      <c r="A78" s="1">
        <v>244303</v>
      </c>
      <c r="B78" t="s">
        <v>18</v>
      </c>
      <c r="C78" t="s">
        <v>109</v>
      </c>
      <c r="D78" t="s">
        <v>110</v>
      </c>
      <c r="G78">
        <v>2803.74</v>
      </c>
      <c r="I78">
        <v>-95327.14</v>
      </c>
    </row>
    <row r="79" spans="1:9" x14ac:dyDescent="0.2">
      <c r="A79" s="1">
        <v>244303</v>
      </c>
      <c r="B79" t="s">
        <v>18</v>
      </c>
      <c r="C79" t="s">
        <v>109</v>
      </c>
      <c r="D79" t="s">
        <v>111</v>
      </c>
      <c r="G79">
        <v>4672.8999999999996</v>
      </c>
      <c r="I79">
        <v>-100000.04</v>
      </c>
    </row>
    <row r="80" spans="1:9" x14ac:dyDescent="0.2">
      <c r="A80" s="1">
        <v>244303</v>
      </c>
      <c r="B80" t="s">
        <v>18</v>
      </c>
      <c r="C80" t="s">
        <v>109</v>
      </c>
      <c r="D80" t="s">
        <v>112</v>
      </c>
      <c r="G80">
        <v>28037.38</v>
      </c>
      <c r="I80">
        <v>-128037.42</v>
      </c>
    </row>
    <row r="81" spans="1:9" x14ac:dyDescent="0.2">
      <c r="A81" s="1">
        <v>244303</v>
      </c>
      <c r="B81" t="s">
        <v>18</v>
      </c>
      <c r="C81" t="s">
        <v>109</v>
      </c>
      <c r="D81" t="s">
        <v>113</v>
      </c>
      <c r="G81">
        <v>2803.74</v>
      </c>
      <c r="I81">
        <v>-130841.16</v>
      </c>
    </row>
    <row r="82" spans="1:9" x14ac:dyDescent="0.2">
      <c r="A82" s="1">
        <v>244303</v>
      </c>
      <c r="B82" t="s">
        <v>18</v>
      </c>
      <c r="C82" t="s">
        <v>109</v>
      </c>
      <c r="D82" t="s">
        <v>114</v>
      </c>
      <c r="G82">
        <v>9345.7900000000009</v>
      </c>
      <c r="I82">
        <v>-140186.95000000001</v>
      </c>
    </row>
    <row r="83" spans="1:9" x14ac:dyDescent="0.2">
      <c r="A83" s="1">
        <v>244305</v>
      </c>
      <c r="B83" t="s">
        <v>18</v>
      </c>
      <c r="C83" t="s">
        <v>115</v>
      </c>
      <c r="D83" t="s">
        <v>70</v>
      </c>
      <c r="F83">
        <v>2803.74</v>
      </c>
      <c r="I83">
        <v>-137383.21</v>
      </c>
    </row>
    <row r="84" spans="1:9" x14ac:dyDescent="0.2">
      <c r="A84" s="1">
        <v>244305</v>
      </c>
      <c r="B84" t="s">
        <v>18</v>
      </c>
      <c r="C84" t="s">
        <v>115</v>
      </c>
      <c r="D84" t="s">
        <v>116</v>
      </c>
      <c r="G84">
        <v>4672.8999999999996</v>
      </c>
      <c r="I84">
        <v>-142056.10999999999</v>
      </c>
    </row>
    <row r="85" spans="1:9" x14ac:dyDescent="0.2">
      <c r="A85" s="1">
        <v>244305</v>
      </c>
      <c r="B85" t="s">
        <v>18</v>
      </c>
      <c r="C85" t="s">
        <v>115</v>
      </c>
      <c r="D85" t="s">
        <v>117</v>
      </c>
      <c r="G85">
        <v>23364.49</v>
      </c>
      <c r="I85">
        <v>-165420.6</v>
      </c>
    </row>
    <row r="86" spans="1:9" x14ac:dyDescent="0.2">
      <c r="A86" s="1">
        <v>244305</v>
      </c>
      <c r="B86" t="s">
        <v>18</v>
      </c>
      <c r="C86" t="s">
        <v>115</v>
      </c>
      <c r="D86" t="s">
        <v>118</v>
      </c>
      <c r="G86">
        <v>2803.74</v>
      </c>
      <c r="I86">
        <v>-168224.34</v>
      </c>
    </row>
    <row r="87" spans="1:9" x14ac:dyDescent="0.2">
      <c r="A87" s="1">
        <v>244306</v>
      </c>
      <c r="B87" t="s">
        <v>18</v>
      </c>
      <c r="C87" t="s">
        <v>119</v>
      </c>
      <c r="D87" t="s">
        <v>120</v>
      </c>
      <c r="G87">
        <v>2803.74</v>
      </c>
      <c r="I87">
        <v>-171028.08</v>
      </c>
    </row>
    <row r="88" spans="1:9" x14ac:dyDescent="0.2">
      <c r="A88" s="1">
        <v>244306</v>
      </c>
      <c r="B88" t="s">
        <v>18</v>
      </c>
      <c r="C88" t="s">
        <v>119</v>
      </c>
      <c r="D88" t="s">
        <v>121</v>
      </c>
      <c r="G88">
        <v>4672.8999999999996</v>
      </c>
      <c r="I88">
        <v>-175700.98</v>
      </c>
    </row>
    <row r="89" spans="1:9" x14ac:dyDescent="0.2">
      <c r="A89" s="1">
        <v>244307</v>
      </c>
      <c r="B89" t="s">
        <v>18</v>
      </c>
      <c r="C89" t="s">
        <v>122</v>
      </c>
      <c r="D89" t="s">
        <v>71</v>
      </c>
      <c r="F89">
        <v>2803.74</v>
      </c>
      <c r="I89">
        <v>-172897.24</v>
      </c>
    </row>
    <row r="90" spans="1:9" x14ac:dyDescent="0.2">
      <c r="A90" s="1">
        <v>244307</v>
      </c>
      <c r="B90" t="s">
        <v>18</v>
      </c>
      <c r="C90" t="s">
        <v>122</v>
      </c>
      <c r="D90" t="s">
        <v>123</v>
      </c>
      <c r="G90">
        <v>5607.48</v>
      </c>
      <c r="I90">
        <v>-178504.72</v>
      </c>
    </row>
    <row r="91" spans="1:9" x14ac:dyDescent="0.2">
      <c r="A91" s="1">
        <v>244308</v>
      </c>
      <c r="B91" t="s">
        <v>18</v>
      </c>
      <c r="C91" t="s">
        <v>124</v>
      </c>
      <c r="D91" t="s">
        <v>125</v>
      </c>
      <c r="G91">
        <v>2803.74</v>
      </c>
      <c r="I91">
        <v>-181308.46</v>
      </c>
    </row>
    <row r="92" spans="1:9" x14ac:dyDescent="0.2">
      <c r="A92" s="1">
        <v>244310</v>
      </c>
      <c r="B92" t="s">
        <v>18</v>
      </c>
      <c r="C92" t="s">
        <v>126</v>
      </c>
      <c r="D92" t="s">
        <v>127</v>
      </c>
      <c r="G92">
        <v>4672.8999999999996</v>
      </c>
      <c r="I92">
        <v>-185981.36</v>
      </c>
    </row>
    <row r="93" spans="1:9" x14ac:dyDescent="0.2">
      <c r="A93" s="1">
        <v>244312</v>
      </c>
      <c r="B93" t="s">
        <v>18</v>
      </c>
      <c r="C93" t="s">
        <v>128</v>
      </c>
      <c r="D93" t="s">
        <v>127</v>
      </c>
      <c r="F93">
        <v>4672.8999999999996</v>
      </c>
      <c r="I93">
        <v>-181308.46</v>
      </c>
    </row>
    <row r="94" spans="1:9" x14ac:dyDescent="0.2">
      <c r="A94" s="1">
        <v>244312</v>
      </c>
      <c r="B94" t="s">
        <v>18</v>
      </c>
      <c r="C94" t="s">
        <v>128</v>
      </c>
      <c r="D94" t="s">
        <v>117</v>
      </c>
      <c r="F94">
        <v>23364.49</v>
      </c>
      <c r="I94">
        <v>-157943.97</v>
      </c>
    </row>
    <row r="95" spans="1:9" x14ac:dyDescent="0.2">
      <c r="A95" s="1">
        <v>244312</v>
      </c>
      <c r="B95" t="s">
        <v>18</v>
      </c>
      <c r="C95" t="s">
        <v>128</v>
      </c>
      <c r="D95" t="s">
        <v>129</v>
      </c>
      <c r="G95">
        <v>4672.8999999999996</v>
      </c>
      <c r="I95">
        <v>-162616.87</v>
      </c>
    </row>
    <row r="96" spans="1:9" x14ac:dyDescent="0.2">
      <c r="A96" s="1">
        <v>244312</v>
      </c>
      <c r="B96" t="s">
        <v>18</v>
      </c>
      <c r="C96" t="s">
        <v>128</v>
      </c>
      <c r="D96" t="s">
        <v>90</v>
      </c>
      <c r="F96">
        <v>4672.8999999999996</v>
      </c>
      <c r="I96">
        <v>-157943.97</v>
      </c>
    </row>
    <row r="97" spans="1:9" x14ac:dyDescent="0.2">
      <c r="A97" s="1">
        <v>244312</v>
      </c>
      <c r="B97" t="s">
        <v>18</v>
      </c>
      <c r="C97" t="s">
        <v>128</v>
      </c>
      <c r="D97" t="s">
        <v>130</v>
      </c>
      <c r="G97">
        <v>4672.8999999999996</v>
      </c>
      <c r="I97">
        <v>-162616.87</v>
      </c>
    </row>
    <row r="98" spans="1:9" x14ac:dyDescent="0.2">
      <c r="A98" s="1">
        <v>244312</v>
      </c>
      <c r="B98" t="s">
        <v>18</v>
      </c>
      <c r="C98" t="s">
        <v>128</v>
      </c>
      <c r="D98" t="s">
        <v>102</v>
      </c>
      <c r="F98">
        <v>28037.38</v>
      </c>
      <c r="I98">
        <v>-134579.49</v>
      </c>
    </row>
    <row r="99" spans="1:9" x14ac:dyDescent="0.2">
      <c r="A99" s="1">
        <v>244312</v>
      </c>
      <c r="B99" t="s">
        <v>18</v>
      </c>
      <c r="C99" t="s">
        <v>128</v>
      </c>
      <c r="D99" t="s">
        <v>131</v>
      </c>
      <c r="G99">
        <v>2803.74</v>
      </c>
      <c r="I99">
        <v>-137383.23000000001</v>
      </c>
    </row>
    <row r="100" spans="1:9" x14ac:dyDescent="0.2">
      <c r="A100" s="1">
        <v>244312</v>
      </c>
      <c r="B100" t="s">
        <v>18</v>
      </c>
      <c r="C100" t="s">
        <v>128</v>
      </c>
      <c r="D100" t="s">
        <v>132</v>
      </c>
      <c r="G100">
        <v>4672.8999999999996</v>
      </c>
      <c r="I100">
        <v>-142056.13</v>
      </c>
    </row>
    <row r="101" spans="1:9" x14ac:dyDescent="0.2">
      <c r="A101" s="1">
        <v>244314</v>
      </c>
      <c r="B101" t="s">
        <v>18</v>
      </c>
      <c r="C101" t="s">
        <v>133</v>
      </c>
      <c r="D101" t="s">
        <v>105</v>
      </c>
      <c r="F101">
        <v>4672.8999999999996</v>
      </c>
      <c r="I101">
        <v>-137383.23000000001</v>
      </c>
    </row>
    <row r="102" spans="1:9" x14ac:dyDescent="0.2">
      <c r="A102" s="1">
        <v>244314</v>
      </c>
      <c r="B102" t="s">
        <v>18</v>
      </c>
      <c r="C102" t="s">
        <v>134</v>
      </c>
      <c r="D102" t="s">
        <v>121</v>
      </c>
      <c r="F102">
        <v>4672.8999999999996</v>
      </c>
      <c r="I102">
        <v>-132710.32999999999</v>
      </c>
    </row>
    <row r="103" spans="1:9" x14ac:dyDescent="0.2">
      <c r="A103" s="1">
        <v>244315</v>
      </c>
      <c r="B103" t="s">
        <v>18</v>
      </c>
      <c r="C103" t="s">
        <v>135</v>
      </c>
      <c r="D103" t="s">
        <v>112</v>
      </c>
      <c r="F103">
        <v>28037.38</v>
      </c>
      <c r="I103">
        <v>-104672.95</v>
      </c>
    </row>
    <row r="104" spans="1:9" x14ac:dyDescent="0.2">
      <c r="A104" s="1">
        <v>244315</v>
      </c>
      <c r="B104" t="s">
        <v>18</v>
      </c>
      <c r="C104" t="s">
        <v>135</v>
      </c>
      <c r="D104" t="s">
        <v>136</v>
      </c>
      <c r="G104">
        <v>2803.74</v>
      </c>
      <c r="I104">
        <v>-107476.69</v>
      </c>
    </row>
    <row r="105" spans="1:9" x14ac:dyDescent="0.2">
      <c r="A105" s="1">
        <v>244315</v>
      </c>
      <c r="B105" t="s">
        <v>18</v>
      </c>
      <c r="C105" t="s">
        <v>135</v>
      </c>
      <c r="D105" t="s">
        <v>130</v>
      </c>
      <c r="F105">
        <v>4672.8999999999996</v>
      </c>
      <c r="I105">
        <v>-102803.79</v>
      </c>
    </row>
    <row r="106" spans="1:9" x14ac:dyDescent="0.2">
      <c r="A106" s="1">
        <v>244316</v>
      </c>
      <c r="B106" t="s">
        <v>60</v>
      </c>
      <c r="C106" t="s">
        <v>137</v>
      </c>
      <c r="D106" t="s">
        <v>138</v>
      </c>
      <c r="F106">
        <v>2803.74</v>
      </c>
      <c r="I106">
        <v>-100000.05</v>
      </c>
    </row>
    <row r="107" spans="1:9" x14ac:dyDescent="0.2">
      <c r="A107" s="1">
        <v>244316</v>
      </c>
      <c r="B107" t="s">
        <v>60</v>
      </c>
      <c r="C107" t="s">
        <v>137</v>
      </c>
      <c r="D107" t="s">
        <v>139</v>
      </c>
      <c r="F107">
        <v>4672.8999999999996</v>
      </c>
      <c r="I107">
        <v>-95327.15</v>
      </c>
    </row>
    <row r="108" spans="1:9" x14ac:dyDescent="0.2">
      <c r="A108" s="1">
        <v>244316</v>
      </c>
      <c r="B108" t="s">
        <v>18</v>
      </c>
      <c r="C108" t="s">
        <v>140</v>
      </c>
      <c r="D108" t="s">
        <v>141</v>
      </c>
      <c r="G108">
        <v>4672.8999999999996</v>
      </c>
      <c r="I108">
        <v>-100000.05</v>
      </c>
    </row>
    <row r="109" spans="1:9" x14ac:dyDescent="0.2">
      <c r="A109" s="1">
        <v>244317</v>
      </c>
      <c r="B109" t="s">
        <v>18</v>
      </c>
      <c r="C109" t="s">
        <v>142</v>
      </c>
      <c r="D109" t="s">
        <v>143</v>
      </c>
      <c r="G109">
        <v>4672.8999999999996</v>
      </c>
      <c r="I109">
        <v>-104672.95</v>
      </c>
    </row>
    <row r="110" spans="1:9" x14ac:dyDescent="0.2">
      <c r="A110" s="1">
        <v>244317</v>
      </c>
      <c r="B110" t="s">
        <v>18</v>
      </c>
      <c r="C110" t="s">
        <v>142</v>
      </c>
      <c r="D110" t="s">
        <v>144</v>
      </c>
      <c r="G110">
        <v>2803.74</v>
      </c>
      <c r="I110">
        <v>-107476.69</v>
      </c>
    </row>
    <row r="111" spans="1:9" x14ac:dyDescent="0.2">
      <c r="A111" s="1">
        <v>244317</v>
      </c>
      <c r="B111" t="s">
        <v>18</v>
      </c>
      <c r="C111" t="s">
        <v>142</v>
      </c>
      <c r="D111" t="s">
        <v>145</v>
      </c>
      <c r="G111">
        <v>4672.8999999999996</v>
      </c>
      <c r="I111">
        <v>-112149.59</v>
      </c>
    </row>
    <row r="112" spans="1:9" x14ac:dyDescent="0.2">
      <c r="A112" s="1">
        <v>244319</v>
      </c>
      <c r="B112" t="s">
        <v>18</v>
      </c>
      <c r="C112" t="s">
        <v>146</v>
      </c>
      <c r="D112" t="s">
        <v>147</v>
      </c>
      <c r="F112">
        <v>3000</v>
      </c>
      <c r="I112">
        <v>-109149.59</v>
      </c>
    </row>
    <row r="113" spans="1:9" x14ac:dyDescent="0.2">
      <c r="A113" s="1">
        <v>244319</v>
      </c>
      <c r="B113" t="s">
        <v>18</v>
      </c>
      <c r="C113" t="s">
        <v>146</v>
      </c>
      <c r="D113" t="s">
        <v>148</v>
      </c>
      <c r="F113">
        <v>5000</v>
      </c>
      <c r="I113">
        <v>-104149.59</v>
      </c>
    </row>
    <row r="114" spans="1:9" x14ac:dyDescent="0.2">
      <c r="A114" s="1">
        <v>244319</v>
      </c>
      <c r="B114" t="s">
        <v>18</v>
      </c>
      <c r="C114" t="s">
        <v>146</v>
      </c>
      <c r="D114" t="s">
        <v>149</v>
      </c>
      <c r="F114">
        <v>10000</v>
      </c>
      <c r="I114">
        <v>-94149.59</v>
      </c>
    </row>
    <row r="115" spans="1:9" x14ac:dyDescent="0.2">
      <c r="A115" s="1">
        <v>244319</v>
      </c>
      <c r="B115" t="s">
        <v>18</v>
      </c>
      <c r="C115" t="s">
        <v>146</v>
      </c>
      <c r="D115" t="s">
        <v>149</v>
      </c>
      <c r="F115">
        <v>2000</v>
      </c>
      <c r="I115">
        <v>-92149.59</v>
      </c>
    </row>
    <row r="116" spans="1:9" x14ac:dyDescent="0.2">
      <c r="A116" s="1">
        <v>244320</v>
      </c>
      <c r="B116" t="s">
        <v>18</v>
      </c>
      <c r="C116" t="s">
        <v>150</v>
      </c>
      <c r="D116" t="s">
        <v>151</v>
      </c>
      <c r="G116">
        <v>5000</v>
      </c>
      <c r="I116">
        <v>-97149.59</v>
      </c>
    </row>
    <row r="117" spans="1:9" x14ac:dyDescent="0.2">
      <c r="A117" s="1">
        <v>244320</v>
      </c>
      <c r="B117" t="s">
        <v>18</v>
      </c>
      <c r="C117" t="s">
        <v>150</v>
      </c>
      <c r="D117" t="s">
        <v>152</v>
      </c>
      <c r="G117">
        <v>10000</v>
      </c>
      <c r="I117">
        <v>-107149.59</v>
      </c>
    </row>
    <row r="118" spans="1:9" x14ac:dyDescent="0.2">
      <c r="A118" s="1">
        <v>244321</v>
      </c>
      <c r="B118" t="s">
        <v>18</v>
      </c>
      <c r="C118" t="s">
        <v>153</v>
      </c>
      <c r="D118" t="s">
        <v>154</v>
      </c>
      <c r="G118">
        <v>2000</v>
      </c>
      <c r="I118">
        <v>-109149.59</v>
      </c>
    </row>
    <row r="119" spans="1:9" x14ac:dyDescent="0.2">
      <c r="A119" s="1">
        <v>244321</v>
      </c>
      <c r="B119" t="s">
        <v>18</v>
      </c>
      <c r="C119" t="s">
        <v>153</v>
      </c>
      <c r="D119" t="s">
        <v>155</v>
      </c>
      <c r="G119">
        <v>5000</v>
      </c>
      <c r="I119">
        <v>-114149.59</v>
      </c>
    </row>
    <row r="120" spans="1:9" x14ac:dyDescent="0.2">
      <c r="A120" s="1">
        <v>244321</v>
      </c>
      <c r="B120" t="s">
        <v>18</v>
      </c>
      <c r="C120" t="s">
        <v>153</v>
      </c>
      <c r="D120" t="s">
        <v>156</v>
      </c>
      <c r="G120">
        <v>3000</v>
      </c>
      <c r="I120">
        <v>-117149.59</v>
      </c>
    </row>
    <row r="121" spans="1:9" x14ac:dyDescent="0.2">
      <c r="A121" s="1">
        <v>244321</v>
      </c>
      <c r="B121" t="s">
        <v>18</v>
      </c>
      <c r="C121" t="s">
        <v>153</v>
      </c>
      <c r="D121" t="s">
        <v>157</v>
      </c>
      <c r="G121">
        <v>2000</v>
      </c>
      <c r="I121">
        <v>-119149.59</v>
      </c>
    </row>
    <row r="122" spans="1:9" x14ac:dyDescent="0.2">
      <c r="A122" s="1">
        <v>244322</v>
      </c>
      <c r="B122" t="s">
        <v>18</v>
      </c>
      <c r="C122" t="s">
        <v>158</v>
      </c>
      <c r="D122" t="s">
        <v>159</v>
      </c>
      <c r="G122">
        <v>3000</v>
      </c>
      <c r="I122">
        <v>-122149.59</v>
      </c>
    </row>
    <row r="123" spans="1:9" x14ac:dyDescent="0.2">
      <c r="A123" s="1">
        <v>244322</v>
      </c>
      <c r="B123" t="s">
        <v>18</v>
      </c>
      <c r="C123" t="s">
        <v>158</v>
      </c>
      <c r="D123" t="s">
        <v>160</v>
      </c>
      <c r="G123">
        <v>3000</v>
      </c>
      <c r="I123">
        <v>-125149.59</v>
      </c>
    </row>
    <row r="124" spans="1:9" x14ac:dyDescent="0.2">
      <c r="A124" s="1">
        <v>244322</v>
      </c>
      <c r="B124" t="s">
        <v>18</v>
      </c>
      <c r="C124" t="s">
        <v>158</v>
      </c>
      <c r="D124" t="s">
        <v>161</v>
      </c>
      <c r="G124">
        <v>1000</v>
      </c>
      <c r="I124">
        <v>-126149.59</v>
      </c>
    </row>
    <row r="125" spans="1:9" x14ac:dyDescent="0.2">
      <c r="A125" s="1">
        <v>244322</v>
      </c>
      <c r="B125" t="s">
        <v>18</v>
      </c>
      <c r="C125" t="s">
        <v>158</v>
      </c>
      <c r="D125" t="s">
        <v>162</v>
      </c>
      <c r="G125">
        <v>3000</v>
      </c>
      <c r="I125">
        <v>-129149.59</v>
      </c>
    </row>
    <row r="126" spans="1:9" x14ac:dyDescent="0.2">
      <c r="A126" s="1">
        <v>244322</v>
      </c>
      <c r="B126" t="s">
        <v>18</v>
      </c>
      <c r="C126" t="s">
        <v>158</v>
      </c>
      <c r="D126" t="s">
        <v>163</v>
      </c>
      <c r="F126">
        <v>5000</v>
      </c>
      <c r="I126">
        <v>-124149.59</v>
      </c>
    </row>
    <row r="127" spans="1:9" x14ac:dyDescent="0.2">
      <c r="A127" s="1">
        <v>244322</v>
      </c>
      <c r="B127" t="s">
        <v>18</v>
      </c>
      <c r="C127" t="s">
        <v>158</v>
      </c>
      <c r="D127" t="s">
        <v>164</v>
      </c>
      <c r="F127">
        <v>6000</v>
      </c>
      <c r="I127">
        <v>-118149.59</v>
      </c>
    </row>
    <row r="128" spans="1:9" x14ac:dyDescent="0.2">
      <c r="A128" s="1">
        <v>244323</v>
      </c>
      <c r="B128" t="s">
        <v>18</v>
      </c>
      <c r="C128" t="s">
        <v>165</v>
      </c>
      <c r="D128" t="s">
        <v>166</v>
      </c>
      <c r="G128">
        <v>4000</v>
      </c>
      <c r="I128">
        <v>-122149.59</v>
      </c>
    </row>
    <row r="129" spans="1:9" x14ac:dyDescent="0.2">
      <c r="A129" s="1">
        <v>244323</v>
      </c>
      <c r="B129" t="s">
        <v>18</v>
      </c>
      <c r="C129" t="s">
        <v>165</v>
      </c>
      <c r="D129" t="s">
        <v>167</v>
      </c>
      <c r="G129">
        <v>134900</v>
      </c>
      <c r="I129">
        <v>-257049.59</v>
      </c>
    </row>
    <row r="130" spans="1:9" x14ac:dyDescent="0.2">
      <c r="A130" s="1">
        <v>244324</v>
      </c>
      <c r="B130" t="s">
        <v>18</v>
      </c>
      <c r="C130" t="s">
        <v>168</v>
      </c>
      <c r="D130" t="s">
        <v>169</v>
      </c>
      <c r="F130">
        <v>5000</v>
      </c>
      <c r="I130">
        <v>-252049.59</v>
      </c>
    </row>
    <row r="131" spans="1:9" x14ac:dyDescent="0.2">
      <c r="A131" s="1">
        <v>244324</v>
      </c>
      <c r="B131" t="s">
        <v>18</v>
      </c>
      <c r="C131" t="s">
        <v>168</v>
      </c>
      <c r="D131" t="s">
        <v>167</v>
      </c>
      <c r="F131">
        <v>134900</v>
      </c>
      <c r="I131">
        <v>-117149.59</v>
      </c>
    </row>
    <row r="132" spans="1:9" x14ac:dyDescent="0.2">
      <c r="A132" s="1">
        <v>244324</v>
      </c>
      <c r="B132" t="s">
        <v>18</v>
      </c>
      <c r="C132" t="s">
        <v>168</v>
      </c>
      <c r="D132" t="s">
        <v>170</v>
      </c>
      <c r="G132">
        <v>3000</v>
      </c>
      <c r="I132">
        <v>-120149.59</v>
      </c>
    </row>
    <row r="133" spans="1:9" x14ac:dyDescent="0.2">
      <c r="A133" s="1">
        <v>244324</v>
      </c>
      <c r="B133" t="s">
        <v>18</v>
      </c>
      <c r="C133" t="s">
        <v>168</v>
      </c>
      <c r="D133" t="s">
        <v>171</v>
      </c>
      <c r="G133">
        <v>1000</v>
      </c>
      <c r="I133">
        <v>-121149.59</v>
      </c>
    </row>
    <row r="134" spans="1:9" x14ac:dyDescent="0.2">
      <c r="A134" s="1">
        <v>244324</v>
      </c>
      <c r="B134" t="s">
        <v>18</v>
      </c>
      <c r="C134" t="s">
        <v>168</v>
      </c>
      <c r="D134" t="s">
        <v>172</v>
      </c>
      <c r="G134">
        <v>3000</v>
      </c>
      <c r="I134">
        <v>-124149.59</v>
      </c>
    </row>
    <row r="135" spans="1:9" x14ac:dyDescent="0.2">
      <c r="A135" s="1">
        <v>244326</v>
      </c>
      <c r="B135" t="s">
        <v>18</v>
      </c>
      <c r="C135" t="s">
        <v>173</v>
      </c>
      <c r="D135" t="s">
        <v>174</v>
      </c>
      <c r="G135">
        <v>3000</v>
      </c>
      <c r="I135">
        <v>-127149.59</v>
      </c>
    </row>
    <row r="136" spans="1:9" x14ac:dyDescent="0.2">
      <c r="A136" s="1">
        <v>244326</v>
      </c>
      <c r="B136" t="s">
        <v>18</v>
      </c>
      <c r="C136" t="s">
        <v>173</v>
      </c>
      <c r="D136" t="s">
        <v>175</v>
      </c>
      <c r="G136">
        <v>2000</v>
      </c>
      <c r="I136">
        <v>-129149.59</v>
      </c>
    </row>
    <row r="137" spans="1:9" x14ac:dyDescent="0.2">
      <c r="A137" s="1">
        <v>244326</v>
      </c>
      <c r="B137" t="s">
        <v>18</v>
      </c>
      <c r="C137" t="s">
        <v>173</v>
      </c>
      <c r="D137" t="s">
        <v>174</v>
      </c>
      <c r="F137">
        <v>3000</v>
      </c>
      <c r="I137">
        <v>-126149.59</v>
      </c>
    </row>
    <row r="138" spans="1:9" x14ac:dyDescent="0.2">
      <c r="A138" s="1">
        <v>244327</v>
      </c>
      <c r="B138" t="s">
        <v>18</v>
      </c>
      <c r="C138" t="s">
        <v>176</v>
      </c>
      <c r="D138" t="s">
        <v>136</v>
      </c>
      <c r="F138">
        <v>3000</v>
      </c>
      <c r="I138">
        <v>-123149.59</v>
      </c>
    </row>
    <row r="139" spans="1:9" x14ac:dyDescent="0.2">
      <c r="A139" s="1">
        <v>244327</v>
      </c>
      <c r="B139" t="s">
        <v>18</v>
      </c>
      <c r="C139" t="s">
        <v>177</v>
      </c>
      <c r="D139" t="s">
        <v>178</v>
      </c>
      <c r="G139">
        <v>3000</v>
      </c>
      <c r="I139">
        <v>-126149.59</v>
      </c>
    </row>
    <row r="140" spans="1:9" x14ac:dyDescent="0.2">
      <c r="A140" s="1">
        <v>244327</v>
      </c>
      <c r="B140" t="s">
        <v>18</v>
      </c>
      <c r="C140" t="s">
        <v>177</v>
      </c>
      <c r="D140" t="s">
        <v>179</v>
      </c>
      <c r="G140">
        <v>33000</v>
      </c>
      <c r="I140">
        <v>-159149.59</v>
      </c>
    </row>
    <row r="141" spans="1:9" x14ac:dyDescent="0.2">
      <c r="A141" s="1">
        <v>244327</v>
      </c>
      <c r="B141" t="s">
        <v>18</v>
      </c>
      <c r="C141" t="s">
        <v>177</v>
      </c>
      <c r="D141" t="s">
        <v>180</v>
      </c>
      <c r="G141">
        <v>3000</v>
      </c>
      <c r="I141">
        <v>-162149.59</v>
      </c>
    </row>
    <row r="142" spans="1:9" x14ac:dyDescent="0.2">
      <c r="A142" s="1">
        <v>244327</v>
      </c>
      <c r="B142" t="s">
        <v>18</v>
      </c>
      <c r="C142" t="s">
        <v>177</v>
      </c>
      <c r="D142" t="s">
        <v>181</v>
      </c>
      <c r="G142">
        <v>30000</v>
      </c>
      <c r="I142">
        <v>-192149.59</v>
      </c>
    </row>
    <row r="143" spans="1:9" x14ac:dyDescent="0.2">
      <c r="A143" s="1">
        <v>244327</v>
      </c>
      <c r="B143" t="s">
        <v>18</v>
      </c>
      <c r="C143" t="s">
        <v>177</v>
      </c>
      <c r="D143" t="s">
        <v>182</v>
      </c>
      <c r="G143">
        <v>1000</v>
      </c>
      <c r="I143">
        <v>-193149.59</v>
      </c>
    </row>
    <row r="144" spans="1:9" x14ac:dyDescent="0.2">
      <c r="A144" s="1">
        <v>244328</v>
      </c>
      <c r="B144" t="s">
        <v>18</v>
      </c>
      <c r="C144" t="s">
        <v>183</v>
      </c>
      <c r="D144" t="s">
        <v>184</v>
      </c>
      <c r="G144">
        <v>5000</v>
      </c>
      <c r="I144">
        <v>-198149.59</v>
      </c>
    </row>
    <row r="145" spans="1:9" x14ac:dyDescent="0.2">
      <c r="A145" s="1">
        <v>244328</v>
      </c>
      <c r="B145" t="s">
        <v>18</v>
      </c>
      <c r="C145" t="s">
        <v>183</v>
      </c>
      <c r="D145" t="s">
        <v>185</v>
      </c>
      <c r="F145">
        <v>3000</v>
      </c>
      <c r="I145">
        <v>-195149.59</v>
      </c>
    </row>
    <row r="146" spans="1:9" x14ac:dyDescent="0.2">
      <c r="A146" s="1">
        <v>244328</v>
      </c>
      <c r="B146" t="s">
        <v>18</v>
      </c>
      <c r="C146" t="s">
        <v>183</v>
      </c>
      <c r="D146" t="s">
        <v>186</v>
      </c>
      <c r="F146">
        <v>1000</v>
      </c>
      <c r="I146">
        <v>-194149.59</v>
      </c>
    </row>
    <row r="147" spans="1:9" x14ac:dyDescent="0.2">
      <c r="A147" s="1">
        <v>244329</v>
      </c>
      <c r="B147" t="s">
        <v>18</v>
      </c>
      <c r="C147" t="s">
        <v>187</v>
      </c>
      <c r="D147" t="s">
        <v>188</v>
      </c>
      <c r="G147">
        <v>3000</v>
      </c>
      <c r="I147">
        <v>-197149.59</v>
      </c>
    </row>
    <row r="148" spans="1:9" x14ac:dyDescent="0.2">
      <c r="A148" s="1">
        <v>244329</v>
      </c>
      <c r="B148" t="s">
        <v>18</v>
      </c>
      <c r="C148" t="s">
        <v>187</v>
      </c>
      <c r="D148" t="s">
        <v>189</v>
      </c>
      <c r="G148">
        <v>3000</v>
      </c>
      <c r="I148">
        <v>-200149.59</v>
      </c>
    </row>
    <row r="149" spans="1:9" x14ac:dyDescent="0.2">
      <c r="A149" s="1">
        <v>244329</v>
      </c>
      <c r="B149" t="s">
        <v>18</v>
      </c>
      <c r="C149" t="s">
        <v>187</v>
      </c>
      <c r="D149" t="s">
        <v>190</v>
      </c>
      <c r="G149">
        <v>10000</v>
      </c>
      <c r="I149">
        <v>-210149.59</v>
      </c>
    </row>
    <row r="150" spans="1:9" x14ac:dyDescent="0.2">
      <c r="A150" s="1">
        <v>244329</v>
      </c>
      <c r="B150" t="s">
        <v>18</v>
      </c>
      <c r="C150" t="s">
        <v>187</v>
      </c>
      <c r="D150" t="s">
        <v>191</v>
      </c>
      <c r="G150">
        <v>1000</v>
      </c>
      <c r="I150">
        <v>-211149.59</v>
      </c>
    </row>
    <row r="151" spans="1:9" x14ac:dyDescent="0.2">
      <c r="A151" s="1">
        <v>244330</v>
      </c>
      <c r="B151" t="s">
        <v>18</v>
      </c>
      <c r="C151" t="s">
        <v>192</v>
      </c>
      <c r="D151" t="s">
        <v>193</v>
      </c>
      <c r="G151">
        <v>1000</v>
      </c>
      <c r="I151">
        <v>-212149.59</v>
      </c>
    </row>
    <row r="152" spans="1:9" x14ac:dyDescent="0.2">
      <c r="A152" s="1">
        <v>244330</v>
      </c>
      <c r="B152" t="s">
        <v>18</v>
      </c>
      <c r="C152" t="s">
        <v>192</v>
      </c>
      <c r="D152" t="s">
        <v>194</v>
      </c>
      <c r="G152">
        <v>3000</v>
      </c>
      <c r="I152">
        <v>-215149.59</v>
      </c>
    </row>
    <row r="153" spans="1:9" x14ac:dyDescent="0.2">
      <c r="A153" s="1">
        <v>244330</v>
      </c>
      <c r="B153" t="s">
        <v>18</v>
      </c>
      <c r="C153" t="s">
        <v>192</v>
      </c>
      <c r="D153" t="s">
        <v>195</v>
      </c>
      <c r="G153">
        <v>5000</v>
      </c>
      <c r="I153">
        <v>-220149.59</v>
      </c>
    </row>
    <row r="154" spans="1:9" x14ac:dyDescent="0.2">
      <c r="A154" s="1">
        <v>244330</v>
      </c>
      <c r="B154" t="s">
        <v>18</v>
      </c>
      <c r="C154" t="s">
        <v>192</v>
      </c>
      <c r="D154" t="s">
        <v>196</v>
      </c>
      <c r="G154">
        <v>3000</v>
      </c>
      <c r="I154">
        <v>-223149.59</v>
      </c>
    </row>
    <row r="155" spans="1:9" x14ac:dyDescent="0.2">
      <c r="A155" s="1">
        <v>244330</v>
      </c>
      <c r="B155" t="s">
        <v>18</v>
      </c>
      <c r="C155" t="s">
        <v>192</v>
      </c>
      <c r="D155" t="s">
        <v>197</v>
      </c>
      <c r="G155">
        <v>9900</v>
      </c>
      <c r="I155">
        <v>-233049.59</v>
      </c>
    </row>
    <row r="156" spans="1:9" x14ac:dyDescent="0.2">
      <c r="A156" s="1">
        <v>244330</v>
      </c>
      <c r="B156" t="s">
        <v>18</v>
      </c>
      <c r="C156" t="s">
        <v>192</v>
      </c>
      <c r="D156" t="s">
        <v>198</v>
      </c>
      <c r="G156">
        <v>3500</v>
      </c>
      <c r="I156">
        <v>-236549.59</v>
      </c>
    </row>
    <row r="157" spans="1:9" x14ac:dyDescent="0.2">
      <c r="A157" s="1">
        <v>244330</v>
      </c>
      <c r="B157" t="s">
        <v>18</v>
      </c>
      <c r="C157" t="s">
        <v>192</v>
      </c>
      <c r="D157" t="s">
        <v>199</v>
      </c>
      <c r="G157">
        <v>3000</v>
      </c>
      <c r="I157">
        <v>-239549.59</v>
      </c>
    </row>
    <row r="158" spans="1:9" x14ac:dyDescent="0.2">
      <c r="A158" s="1">
        <v>244331</v>
      </c>
      <c r="B158" t="s">
        <v>18</v>
      </c>
      <c r="C158" t="s">
        <v>200</v>
      </c>
      <c r="D158" t="s">
        <v>201</v>
      </c>
      <c r="F158">
        <v>9900</v>
      </c>
      <c r="I158">
        <v>-229649.59</v>
      </c>
    </row>
    <row r="159" spans="1:9" x14ac:dyDescent="0.2">
      <c r="A159" s="1">
        <v>244331</v>
      </c>
      <c r="B159" t="s">
        <v>18</v>
      </c>
      <c r="C159" t="s">
        <v>200</v>
      </c>
      <c r="D159" t="s">
        <v>202</v>
      </c>
      <c r="G159">
        <v>5000</v>
      </c>
      <c r="I159">
        <v>-234649.59</v>
      </c>
    </row>
    <row r="160" spans="1:9" x14ac:dyDescent="0.2">
      <c r="A160" s="1">
        <v>244333</v>
      </c>
      <c r="B160" t="s">
        <v>18</v>
      </c>
      <c r="C160" t="s">
        <v>203</v>
      </c>
      <c r="D160" t="s">
        <v>204</v>
      </c>
      <c r="G160">
        <v>2000</v>
      </c>
      <c r="I160">
        <v>-236649.59</v>
      </c>
    </row>
    <row r="161" spans="1:9" x14ac:dyDescent="0.2">
      <c r="A161" s="1">
        <v>244333</v>
      </c>
      <c r="B161" t="s">
        <v>18</v>
      </c>
      <c r="C161" t="s">
        <v>203</v>
      </c>
      <c r="D161" t="s">
        <v>205</v>
      </c>
      <c r="G161">
        <v>10000</v>
      </c>
      <c r="I161">
        <v>-246649.59</v>
      </c>
    </row>
    <row r="162" spans="1:9" x14ac:dyDescent="0.2">
      <c r="A162" s="1">
        <v>244333</v>
      </c>
      <c r="B162" t="s">
        <v>18</v>
      </c>
      <c r="C162" t="s">
        <v>203</v>
      </c>
      <c r="D162" t="s">
        <v>206</v>
      </c>
      <c r="G162">
        <v>30000</v>
      </c>
      <c r="I162">
        <v>-276649.59000000003</v>
      </c>
    </row>
    <row r="163" spans="1:9" x14ac:dyDescent="0.2">
      <c r="A163" s="1">
        <v>244333</v>
      </c>
      <c r="B163" t="s">
        <v>18</v>
      </c>
      <c r="C163" t="s">
        <v>203</v>
      </c>
      <c r="D163" t="s">
        <v>207</v>
      </c>
      <c r="G163">
        <v>3000</v>
      </c>
      <c r="I163">
        <v>-279649.59000000003</v>
      </c>
    </row>
    <row r="164" spans="1:9" x14ac:dyDescent="0.2">
      <c r="A164" s="1">
        <v>244333</v>
      </c>
      <c r="B164" t="s">
        <v>18</v>
      </c>
      <c r="C164" t="s">
        <v>203</v>
      </c>
      <c r="D164" t="s">
        <v>208</v>
      </c>
      <c r="G164">
        <v>5000</v>
      </c>
      <c r="I164">
        <v>-284649.59000000003</v>
      </c>
    </row>
    <row r="165" spans="1:9" x14ac:dyDescent="0.2">
      <c r="A165" s="1">
        <v>244333</v>
      </c>
      <c r="B165" t="s">
        <v>18</v>
      </c>
      <c r="C165" t="s">
        <v>203</v>
      </c>
      <c r="D165" t="s">
        <v>209</v>
      </c>
      <c r="F165">
        <v>3000</v>
      </c>
      <c r="I165">
        <v>-281649.59000000003</v>
      </c>
    </row>
    <row r="166" spans="1:9" x14ac:dyDescent="0.2">
      <c r="A166" s="1">
        <v>244334</v>
      </c>
      <c r="B166" t="s">
        <v>18</v>
      </c>
      <c r="C166" t="s">
        <v>210</v>
      </c>
      <c r="D166" t="s">
        <v>129</v>
      </c>
      <c r="F166">
        <v>5000</v>
      </c>
      <c r="I166">
        <v>-276649.59000000003</v>
      </c>
    </row>
    <row r="167" spans="1:9" x14ac:dyDescent="0.2">
      <c r="A167" s="1">
        <v>244334</v>
      </c>
      <c r="B167" t="s">
        <v>18</v>
      </c>
      <c r="C167" t="s">
        <v>211</v>
      </c>
      <c r="D167" t="s">
        <v>116</v>
      </c>
      <c r="F167">
        <v>5000</v>
      </c>
      <c r="I167">
        <v>-271649.59000000003</v>
      </c>
    </row>
    <row r="168" spans="1:9" x14ac:dyDescent="0.2">
      <c r="A168" s="1">
        <v>244334</v>
      </c>
      <c r="B168" t="s">
        <v>18</v>
      </c>
      <c r="C168" t="s">
        <v>212</v>
      </c>
      <c r="D168" t="s">
        <v>213</v>
      </c>
      <c r="F168">
        <v>3000</v>
      </c>
      <c r="I168">
        <v>-268649.59000000003</v>
      </c>
    </row>
    <row r="169" spans="1:9" x14ac:dyDescent="0.2">
      <c r="A169" s="1">
        <v>244334</v>
      </c>
      <c r="B169" t="s">
        <v>18</v>
      </c>
      <c r="C169" t="s">
        <v>214</v>
      </c>
      <c r="D169" t="s">
        <v>215</v>
      </c>
      <c r="G169">
        <v>3500</v>
      </c>
      <c r="I169">
        <v>-272149.59000000003</v>
      </c>
    </row>
    <row r="170" spans="1:9" x14ac:dyDescent="0.2">
      <c r="A170" s="1">
        <v>244334</v>
      </c>
      <c r="B170" t="s">
        <v>18</v>
      </c>
      <c r="C170" t="s">
        <v>214</v>
      </c>
      <c r="D170" t="s">
        <v>216</v>
      </c>
      <c r="G170">
        <v>3000</v>
      </c>
      <c r="I170">
        <v>-275149.59000000003</v>
      </c>
    </row>
    <row r="171" spans="1:9" x14ac:dyDescent="0.2">
      <c r="A171" s="1">
        <v>244334</v>
      </c>
      <c r="B171" t="s">
        <v>18</v>
      </c>
      <c r="C171" t="s">
        <v>214</v>
      </c>
      <c r="D171" t="s">
        <v>217</v>
      </c>
      <c r="G171">
        <v>1000</v>
      </c>
      <c r="I171">
        <v>-276149.59000000003</v>
      </c>
    </row>
    <row r="172" spans="1:9" x14ac:dyDescent="0.2">
      <c r="A172" s="1">
        <v>244334</v>
      </c>
      <c r="B172" t="s">
        <v>18</v>
      </c>
      <c r="C172" t="s">
        <v>214</v>
      </c>
      <c r="D172" t="s">
        <v>218</v>
      </c>
      <c r="G172">
        <v>3000</v>
      </c>
      <c r="I172">
        <v>-279149.59000000003</v>
      </c>
    </row>
    <row r="173" spans="1:9" x14ac:dyDescent="0.2">
      <c r="A173" s="1">
        <v>244334</v>
      </c>
      <c r="B173" t="s">
        <v>18</v>
      </c>
      <c r="C173" t="s">
        <v>214</v>
      </c>
      <c r="D173" t="s">
        <v>219</v>
      </c>
      <c r="G173">
        <v>3000</v>
      </c>
      <c r="I173">
        <v>-282149.59000000003</v>
      </c>
    </row>
    <row r="174" spans="1:9" x14ac:dyDescent="0.2">
      <c r="A174" s="1">
        <v>244335</v>
      </c>
      <c r="B174" t="s">
        <v>18</v>
      </c>
      <c r="C174" t="s">
        <v>220</v>
      </c>
      <c r="D174" t="s">
        <v>221</v>
      </c>
      <c r="G174">
        <v>3000</v>
      </c>
      <c r="I174">
        <v>-285149.59000000003</v>
      </c>
    </row>
    <row r="175" spans="1:9" x14ac:dyDescent="0.2">
      <c r="A175" s="1">
        <v>244335</v>
      </c>
      <c r="B175" t="s">
        <v>18</v>
      </c>
      <c r="C175" t="s">
        <v>220</v>
      </c>
      <c r="D175" t="s">
        <v>222</v>
      </c>
      <c r="G175">
        <v>3000</v>
      </c>
      <c r="I175">
        <v>-288149.59000000003</v>
      </c>
    </row>
    <row r="176" spans="1:9" x14ac:dyDescent="0.2">
      <c r="A176" s="1">
        <v>244335</v>
      </c>
      <c r="B176" t="s">
        <v>18</v>
      </c>
      <c r="C176" t="s">
        <v>220</v>
      </c>
      <c r="D176" t="s">
        <v>223</v>
      </c>
      <c r="F176">
        <v>3500</v>
      </c>
      <c r="I176">
        <v>-284649.59000000003</v>
      </c>
    </row>
    <row r="177" spans="1:9" x14ac:dyDescent="0.2">
      <c r="A177" s="1">
        <v>244335</v>
      </c>
      <c r="B177" t="s">
        <v>18</v>
      </c>
      <c r="C177" t="s">
        <v>220</v>
      </c>
      <c r="D177" t="s">
        <v>224</v>
      </c>
      <c r="F177">
        <v>10000</v>
      </c>
      <c r="I177">
        <v>-274649.59000000003</v>
      </c>
    </row>
    <row r="178" spans="1:9" x14ac:dyDescent="0.2">
      <c r="A178" s="1">
        <v>244336</v>
      </c>
      <c r="B178" t="s">
        <v>18</v>
      </c>
      <c r="C178" t="s">
        <v>225</v>
      </c>
      <c r="D178" t="s">
        <v>226</v>
      </c>
      <c r="F178">
        <v>28037.38</v>
      </c>
      <c r="I178">
        <v>-246612.21</v>
      </c>
    </row>
    <row r="179" spans="1:9" x14ac:dyDescent="0.2">
      <c r="A179" s="1">
        <v>244336</v>
      </c>
      <c r="B179" t="s">
        <v>18</v>
      </c>
      <c r="C179" t="s">
        <v>227</v>
      </c>
      <c r="D179" t="s">
        <v>228</v>
      </c>
      <c r="F179">
        <v>1000</v>
      </c>
      <c r="I179">
        <v>-245612.21</v>
      </c>
    </row>
    <row r="180" spans="1:9" x14ac:dyDescent="0.2">
      <c r="A180" s="1">
        <v>244336</v>
      </c>
      <c r="B180" t="s">
        <v>18</v>
      </c>
      <c r="C180" t="s">
        <v>229</v>
      </c>
      <c r="D180" t="s">
        <v>230</v>
      </c>
      <c r="G180">
        <v>3000</v>
      </c>
      <c r="I180">
        <v>-248612.21</v>
      </c>
    </row>
    <row r="181" spans="1:9" x14ac:dyDescent="0.2">
      <c r="A181" s="1">
        <v>244336</v>
      </c>
      <c r="B181" t="s">
        <v>18</v>
      </c>
      <c r="C181" t="s">
        <v>229</v>
      </c>
      <c r="D181" t="s">
        <v>231</v>
      </c>
      <c r="F181">
        <v>2000</v>
      </c>
      <c r="I181">
        <v>-246612.21</v>
      </c>
    </row>
    <row r="182" spans="1:9" x14ac:dyDescent="0.2">
      <c r="A182" s="1">
        <v>244336</v>
      </c>
      <c r="B182" t="s">
        <v>18</v>
      </c>
      <c r="C182" t="s">
        <v>229</v>
      </c>
      <c r="D182" t="s">
        <v>232</v>
      </c>
      <c r="F182">
        <v>1000</v>
      </c>
      <c r="I182">
        <v>-245612.21</v>
      </c>
    </row>
    <row r="183" spans="1:9" x14ac:dyDescent="0.2">
      <c r="A183" s="1">
        <v>244336</v>
      </c>
      <c r="B183" t="s">
        <v>18</v>
      </c>
      <c r="C183" t="s">
        <v>229</v>
      </c>
      <c r="D183" t="s">
        <v>233</v>
      </c>
      <c r="F183">
        <v>5000</v>
      </c>
      <c r="I183">
        <v>-240612.21</v>
      </c>
    </row>
    <row r="184" spans="1:9" x14ac:dyDescent="0.2">
      <c r="A184" s="1">
        <v>244337</v>
      </c>
      <c r="B184" t="s">
        <v>18</v>
      </c>
      <c r="C184" t="s">
        <v>234</v>
      </c>
      <c r="D184" t="s">
        <v>235</v>
      </c>
      <c r="F184">
        <v>30841.119999999999</v>
      </c>
      <c r="I184">
        <v>-209771.09</v>
      </c>
    </row>
    <row r="185" spans="1:9" x14ac:dyDescent="0.2">
      <c r="A185" s="1">
        <v>244337</v>
      </c>
      <c r="B185" t="s">
        <v>18</v>
      </c>
      <c r="C185" t="s">
        <v>236</v>
      </c>
      <c r="D185" t="s">
        <v>237</v>
      </c>
      <c r="F185">
        <v>2803.74</v>
      </c>
      <c r="I185">
        <v>-206967.35</v>
      </c>
    </row>
    <row r="186" spans="1:9" x14ac:dyDescent="0.2">
      <c r="A186" s="1">
        <v>244337</v>
      </c>
      <c r="B186" t="s">
        <v>18</v>
      </c>
      <c r="C186" t="s">
        <v>238</v>
      </c>
      <c r="D186" t="s">
        <v>120</v>
      </c>
      <c r="F186">
        <v>3000</v>
      </c>
      <c r="I186">
        <v>-203967.35</v>
      </c>
    </row>
    <row r="187" spans="1:9" x14ac:dyDescent="0.2">
      <c r="A187" s="1">
        <v>244337</v>
      </c>
      <c r="B187" t="s">
        <v>18</v>
      </c>
      <c r="C187" t="s">
        <v>239</v>
      </c>
      <c r="D187" t="s">
        <v>240</v>
      </c>
      <c r="F187">
        <v>2000</v>
      </c>
      <c r="I187">
        <v>-201967.35</v>
      </c>
    </row>
    <row r="188" spans="1:9" x14ac:dyDescent="0.2">
      <c r="A188" s="1">
        <v>244337</v>
      </c>
      <c r="B188" t="s">
        <v>18</v>
      </c>
      <c r="C188" t="s">
        <v>241</v>
      </c>
      <c r="D188" t="s">
        <v>242</v>
      </c>
      <c r="F188">
        <v>10000</v>
      </c>
      <c r="I188">
        <v>-191967.35</v>
      </c>
    </row>
    <row r="189" spans="1:9" x14ac:dyDescent="0.2">
      <c r="A189" s="1">
        <v>244337</v>
      </c>
      <c r="B189" t="s">
        <v>18</v>
      </c>
      <c r="C189" t="s">
        <v>243</v>
      </c>
      <c r="D189" t="s">
        <v>244</v>
      </c>
      <c r="F189">
        <v>4000</v>
      </c>
      <c r="I189">
        <v>-187967.35</v>
      </c>
    </row>
    <row r="190" spans="1:9" x14ac:dyDescent="0.2">
      <c r="A190" s="1">
        <v>244337</v>
      </c>
      <c r="B190" t="s">
        <v>18</v>
      </c>
      <c r="C190" t="s">
        <v>245</v>
      </c>
      <c r="D190" t="s">
        <v>246</v>
      </c>
      <c r="G190">
        <v>10000</v>
      </c>
      <c r="I190">
        <v>-197967.35</v>
      </c>
    </row>
    <row r="191" spans="1:9" x14ac:dyDescent="0.2">
      <c r="A191" s="1">
        <v>244337</v>
      </c>
      <c r="B191" t="s">
        <v>18</v>
      </c>
      <c r="C191" t="s">
        <v>245</v>
      </c>
      <c r="D191" t="s">
        <v>247</v>
      </c>
      <c r="G191">
        <v>33000</v>
      </c>
      <c r="I191">
        <v>-230967.35</v>
      </c>
    </row>
    <row r="192" spans="1:9" x14ac:dyDescent="0.2">
      <c r="A192" s="1">
        <v>244337</v>
      </c>
      <c r="B192" t="s">
        <v>18</v>
      </c>
      <c r="C192" t="s">
        <v>245</v>
      </c>
      <c r="D192" t="s">
        <v>248</v>
      </c>
      <c r="G192">
        <v>13000</v>
      </c>
      <c r="I192">
        <v>-243967.35</v>
      </c>
    </row>
    <row r="193" spans="1:9" x14ac:dyDescent="0.2">
      <c r="A193" s="1">
        <v>244337</v>
      </c>
      <c r="B193" t="s">
        <v>18</v>
      </c>
      <c r="C193" t="s">
        <v>245</v>
      </c>
      <c r="D193" t="s">
        <v>249</v>
      </c>
      <c r="G193">
        <v>3000</v>
      </c>
      <c r="I193">
        <v>-246967.35</v>
      </c>
    </row>
    <row r="194" spans="1:9" x14ac:dyDescent="0.2">
      <c r="A194" s="1">
        <v>244337</v>
      </c>
      <c r="B194" t="s">
        <v>18</v>
      </c>
      <c r="C194" t="s">
        <v>245</v>
      </c>
      <c r="D194" t="s">
        <v>250</v>
      </c>
      <c r="G194">
        <v>5000</v>
      </c>
      <c r="I194">
        <v>-251967.35</v>
      </c>
    </row>
    <row r="195" spans="1:9" x14ac:dyDescent="0.2">
      <c r="A195" s="1">
        <v>244337</v>
      </c>
      <c r="B195" t="s">
        <v>18</v>
      </c>
      <c r="C195" t="s">
        <v>245</v>
      </c>
      <c r="D195" t="s">
        <v>251</v>
      </c>
      <c r="G195">
        <v>3000</v>
      </c>
      <c r="I195">
        <v>-254967.35</v>
      </c>
    </row>
    <row r="196" spans="1:9" x14ac:dyDescent="0.2">
      <c r="A196" s="1">
        <v>244337</v>
      </c>
      <c r="B196" t="s">
        <v>18</v>
      </c>
      <c r="C196" t="s">
        <v>245</v>
      </c>
      <c r="D196" t="s">
        <v>252</v>
      </c>
      <c r="G196">
        <v>1000</v>
      </c>
      <c r="I196">
        <v>-255967.35</v>
      </c>
    </row>
    <row r="197" spans="1:9" x14ac:dyDescent="0.2">
      <c r="A197" s="1">
        <v>244337</v>
      </c>
      <c r="B197" t="s">
        <v>18</v>
      </c>
      <c r="C197" t="s">
        <v>245</v>
      </c>
      <c r="D197" t="s">
        <v>253</v>
      </c>
      <c r="G197">
        <v>1000</v>
      </c>
      <c r="I197">
        <v>-256967.35</v>
      </c>
    </row>
    <row r="198" spans="1:9" x14ac:dyDescent="0.2">
      <c r="A198" s="1">
        <v>244337</v>
      </c>
      <c r="B198" t="s">
        <v>18</v>
      </c>
      <c r="C198" t="s">
        <v>245</v>
      </c>
      <c r="D198" t="s">
        <v>254</v>
      </c>
      <c r="G198">
        <v>3000</v>
      </c>
      <c r="I198">
        <v>-259967.35</v>
      </c>
    </row>
    <row r="199" spans="1:9" x14ac:dyDescent="0.2">
      <c r="A199" s="1">
        <v>244337</v>
      </c>
      <c r="B199" t="s">
        <v>18</v>
      </c>
      <c r="C199" t="s">
        <v>245</v>
      </c>
      <c r="D199" t="s">
        <v>255</v>
      </c>
      <c r="G199">
        <v>1000</v>
      </c>
      <c r="I199">
        <v>-260967.35</v>
      </c>
    </row>
    <row r="200" spans="1:9" x14ac:dyDescent="0.2">
      <c r="A200" s="1">
        <v>244338</v>
      </c>
      <c r="B200" t="s">
        <v>60</v>
      </c>
      <c r="C200" t="s">
        <v>256</v>
      </c>
      <c r="D200" t="s">
        <v>257</v>
      </c>
      <c r="F200">
        <v>4672.8999999999996</v>
      </c>
      <c r="I200">
        <v>-256294.45</v>
      </c>
    </row>
    <row r="201" spans="1:9" x14ac:dyDescent="0.2">
      <c r="A201" s="1">
        <v>244338</v>
      </c>
      <c r="B201" t="s">
        <v>60</v>
      </c>
      <c r="C201" t="s">
        <v>256</v>
      </c>
      <c r="D201" t="s">
        <v>258</v>
      </c>
      <c r="F201">
        <v>4672.8999999999996</v>
      </c>
      <c r="I201">
        <v>-251621.55</v>
      </c>
    </row>
    <row r="202" spans="1:9" x14ac:dyDescent="0.2">
      <c r="A202" s="1">
        <v>244338</v>
      </c>
      <c r="B202" t="s">
        <v>60</v>
      </c>
      <c r="C202" t="s">
        <v>256</v>
      </c>
      <c r="D202" t="s">
        <v>259</v>
      </c>
      <c r="F202">
        <v>4672.8999999999996</v>
      </c>
      <c r="I202">
        <v>-246948.65</v>
      </c>
    </row>
    <row r="203" spans="1:9" x14ac:dyDescent="0.2">
      <c r="A203" s="1">
        <v>244338</v>
      </c>
      <c r="B203" t="s">
        <v>60</v>
      </c>
      <c r="C203" t="s">
        <v>256</v>
      </c>
      <c r="D203" t="s">
        <v>260</v>
      </c>
      <c r="F203">
        <v>1869.16</v>
      </c>
      <c r="I203">
        <v>-245079.49</v>
      </c>
    </row>
    <row r="204" spans="1:9" x14ac:dyDescent="0.2">
      <c r="A204" s="1">
        <v>244338</v>
      </c>
      <c r="B204" t="s">
        <v>60</v>
      </c>
      <c r="C204" t="s">
        <v>256</v>
      </c>
      <c r="D204" t="s">
        <v>261</v>
      </c>
      <c r="F204">
        <v>4672.8999999999996</v>
      </c>
      <c r="I204">
        <v>-240406.59</v>
      </c>
    </row>
    <row r="205" spans="1:9" x14ac:dyDescent="0.2">
      <c r="A205" s="1">
        <v>244338</v>
      </c>
      <c r="B205" t="s">
        <v>60</v>
      </c>
      <c r="C205" t="s">
        <v>256</v>
      </c>
      <c r="D205" t="s">
        <v>262</v>
      </c>
      <c r="F205">
        <v>2803.74</v>
      </c>
      <c r="I205">
        <v>-237602.85</v>
      </c>
    </row>
    <row r="206" spans="1:9" x14ac:dyDescent="0.2">
      <c r="A206" s="1">
        <v>244338</v>
      </c>
      <c r="B206" t="s">
        <v>60</v>
      </c>
      <c r="C206" t="s">
        <v>256</v>
      </c>
      <c r="D206" t="s">
        <v>263</v>
      </c>
      <c r="F206">
        <v>2803.74</v>
      </c>
      <c r="I206">
        <v>-234799.11</v>
      </c>
    </row>
    <row r="207" spans="1:9" x14ac:dyDescent="0.2">
      <c r="A207" s="1">
        <v>244338</v>
      </c>
      <c r="B207" t="s">
        <v>60</v>
      </c>
      <c r="C207" t="s">
        <v>256</v>
      </c>
      <c r="D207" t="s">
        <v>264</v>
      </c>
      <c r="F207">
        <v>2803.74</v>
      </c>
      <c r="I207">
        <v>-231995.37</v>
      </c>
    </row>
    <row r="208" spans="1:9" x14ac:dyDescent="0.2">
      <c r="A208" s="1">
        <v>244338</v>
      </c>
      <c r="B208" t="s">
        <v>60</v>
      </c>
      <c r="C208" t="s">
        <v>256</v>
      </c>
      <c r="D208" t="s">
        <v>265</v>
      </c>
      <c r="F208">
        <v>2803.74</v>
      </c>
      <c r="I208">
        <v>-229191.63</v>
      </c>
    </row>
    <row r="209" spans="1:9" x14ac:dyDescent="0.2">
      <c r="A209" s="1">
        <v>244338</v>
      </c>
      <c r="B209" t="s">
        <v>60</v>
      </c>
      <c r="C209" t="s">
        <v>256</v>
      </c>
      <c r="D209" t="s">
        <v>266</v>
      </c>
      <c r="F209">
        <v>2803.74</v>
      </c>
      <c r="I209">
        <v>-226387.89</v>
      </c>
    </row>
    <row r="210" spans="1:9" x14ac:dyDescent="0.2">
      <c r="A210" s="1">
        <v>244338</v>
      </c>
      <c r="B210" t="s">
        <v>60</v>
      </c>
      <c r="C210" t="s">
        <v>256</v>
      </c>
      <c r="D210" t="s">
        <v>267</v>
      </c>
      <c r="F210">
        <v>4672.8999999999996</v>
      </c>
      <c r="I210">
        <v>-221714.99</v>
      </c>
    </row>
    <row r="211" spans="1:9" x14ac:dyDescent="0.2">
      <c r="A211" s="1">
        <v>244338</v>
      </c>
      <c r="B211" t="s">
        <v>60</v>
      </c>
      <c r="C211" t="s">
        <v>256</v>
      </c>
      <c r="D211" t="s">
        <v>268</v>
      </c>
      <c r="F211">
        <v>4672.8999999999996</v>
      </c>
      <c r="I211">
        <v>-217042.09</v>
      </c>
    </row>
    <row r="212" spans="1:9" x14ac:dyDescent="0.2">
      <c r="A212" s="1">
        <v>244338</v>
      </c>
      <c r="B212" t="s">
        <v>18</v>
      </c>
      <c r="C212" t="s">
        <v>269</v>
      </c>
      <c r="D212" t="s">
        <v>270</v>
      </c>
      <c r="G212">
        <v>20000</v>
      </c>
      <c r="I212">
        <v>-237042.09</v>
      </c>
    </row>
    <row r="213" spans="1:9" x14ac:dyDescent="0.2">
      <c r="A213" s="1">
        <v>244338</v>
      </c>
      <c r="B213" t="s">
        <v>18</v>
      </c>
      <c r="C213" t="s">
        <v>269</v>
      </c>
      <c r="D213" t="s">
        <v>271</v>
      </c>
      <c r="G213">
        <v>10000</v>
      </c>
      <c r="I213">
        <v>-247042.09</v>
      </c>
    </row>
    <row r="214" spans="1:9" x14ac:dyDescent="0.2">
      <c r="A214" s="1">
        <v>244338</v>
      </c>
      <c r="B214" t="s">
        <v>18</v>
      </c>
      <c r="C214" t="s">
        <v>269</v>
      </c>
      <c r="D214" t="s">
        <v>272</v>
      </c>
      <c r="G214">
        <v>1000</v>
      </c>
      <c r="I214">
        <v>-248042.09</v>
      </c>
    </row>
    <row r="215" spans="1:9" x14ac:dyDescent="0.2">
      <c r="A215" s="1">
        <v>244338</v>
      </c>
      <c r="B215" t="s">
        <v>18</v>
      </c>
      <c r="C215" t="s">
        <v>269</v>
      </c>
      <c r="D215" t="s">
        <v>273</v>
      </c>
      <c r="G215">
        <v>3000</v>
      </c>
      <c r="I215">
        <v>-251042.09</v>
      </c>
    </row>
    <row r="216" spans="1:9" x14ac:dyDescent="0.2">
      <c r="A216" s="1">
        <v>244338</v>
      </c>
      <c r="B216" t="s">
        <v>18</v>
      </c>
      <c r="C216" t="s">
        <v>269</v>
      </c>
      <c r="D216" t="s">
        <v>274</v>
      </c>
      <c r="G216">
        <v>10000</v>
      </c>
      <c r="I216">
        <v>-261042.09</v>
      </c>
    </row>
    <row r="217" spans="1:9" x14ac:dyDescent="0.2">
      <c r="A217" s="1">
        <v>244338</v>
      </c>
      <c r="B217" t="s">
        <v>18</v>
      </c>
      <c r="C217" t="s">
        <v>269</v>
      </c>
      <c r="D217" t="s">
        <v>275</v>
      </c>
      <c r="G217">
        <v>1000</v>
      </c>
      <c r="I217">
        <v>-262042.09</v>
      </c>
    </row>
    <row r="218" spans="1:9" x14ac:dyDescent="0.2">
      <c r="A218" s="1">
        <v>244338</v>
      </c>
      <c r="B218" t="s">
        <v>18</v>
      </c>
      <c r="C218" t="s">
        <v>269</v>
      </c>
      <c r="D218" t="s">
        <v>276</v>
      </c>
      <c r="G218">
        <v>3000</v>
      </c>
      <c r="I218">
        <v>-265042.09000000003</v>
      </c>
    </row>
    <row r="219" spans="1:9" x14ac:dyDescent="0.2">
      <c r="A219" s="1">
        <v>244338</v>
      </c>
      <c r="B219" t="s">
        <v>18</v>
      </c>
      <c r="C219" t="s">
        <v>269</v>
      </c>
      <c r="D219" t="s">
        <v>277</v>
      </c>
      <c r="G219">
        <v>1000</v>
      </c>
      <c r="I219">
        <v>-266042.09000000003</v>
      </c>
    </row>
    <row r="220" spans="1:9" x14ac:dyDescent="0.2">
      <c r="A220" s="1">
        <v>244340</v>
      </c>
      <c r="B220" t="s">
        <v>18</v>
      </c>
      <c r="C220" t="s">
        <v>278</v>
      </c>
      <c r="D220" t="s">
        <v>279</v>
      </c>
      <c r="F220">
        <v>4672.8999999999996</v>
      </c>
      <c r="I220">
        <v>-261369.19</v>
      </c>
    </row>
    <row r="221" spans="1:9" x14ac:dyDescent="0.2">
      <c r="A221" s="1">
        <v>244340</v>
      </c>
      <c r="B221" t="s">
        <v>18</v>
      </c>
      <c r="C221" t="s">
        <v>280</v>
      </c>
      <c r="D221" t="s">
        <v>281</v>
      </c>
      <c r="F221">
        <v>3000</v>
      </c>
      <c r="I221">
        <v>-258369.19</v>
      </c>
    </row>
    <row r="222" spans="1:9" x14ac:dyDescent="0.2">
      <c r="A222" s="1">
        <v>244340</v>
      </c>
      <c r="B222" t="s">
        <v>18</v>
      </c>
      <c r="C222" t="s">
        <v>282</v>
      </c>
      <c r="D222" t="s">
        <v>283</v>
      </c>
      <c r="F222">
        <v>3000</v>
      </c>
      <c r="I222">
        <v>-255369.19</v>
      </c>
    </row>
    <row r="223" spans="1:9" x14ac:dyDescent="0.2">
      <c r="A223" s="1">
        <v>244340</v>
      </c>
      <c r="B223" t="s">
        <v>18</v>
      </c>
      <c r="C223" t="s">
        <v>284</v>
      </c>
      <c r="D223" t="s">
        <v>285</v>
      </c>
      <c r="F223">
        <v>3000</v>
      </c>
      <c r="I223">
        <v>-252369.19</v>
      </c>
    </row>
    <row r="224" spans="1:9" x14ac:dyDescent="0.2">
      <c r="A224" s="1">
        <v>244340</v>
      </c>
      <c r="B224" t="s">
        <v>18</v>
      </c>
      <c r="C224" t="s">
        <v>286</v>
      </c>
      <c r="D224" t="s">
        <v>287</v>
      </c>
      <c r="F224">
        <v>3000</v>
      </c>
      <c r="I224">
        <v>-249369.19</v>
      </c>
    </row>
    <row r="225" spans="1:9" x14ac:dyDescent="0.2">
      <c r="A225" s="1">
        <v>244340</v>
      </c>
      <c r="B225" t="s">
        <v>18</v>
      </c>
      <c r="C225" t="s">
        <v>288</v>
      </c>
      <c r="D225" t="s">
        <v>289</v>
      </c>
      <c r="G225">
        <v>3000</v>
      </c>
      <c r="I225">
        <v>-252369.19</v>
      </c>
    </row>
    <row r="226" spans="1:9" x14ac:dyDescent="0.2">
      <c r="A226" s="1">
        <v>244340</v>
      </c>
      <c r="B226" t="s">
        <v>18</v>
      </c>
      <c r="C226" t="s">
        <v>288</v>
      </c>
      <c r="D226" t="s">
        <v>290</v>
      </c>
      <c r="G226">
        <v>5000</v>
      </c>
      <c r="I226">
        <v>-257369.19</v>
      </c>
    </row>
    <row r="227" spans="1:9" x14ac:dyDescent="0.2">
      <c r="A227" s="1">
        <v>244340</v>
      </c>
      <c r="B227" t="s">
        <v>18</v>
      </c>
      <c r="C227" t="s">
        <v>288</v>
      </c>
      <c r="D227" t="s">
        <v>291</v>
      </c>
      <c r="F227">
        <v>20000</v>
      </c>
      <c r="I227">
        <v>-237369.19</v>
      </c>
    </row>
    <row r="228" spans="1:9" x14ac:dyDescent="0.2">
      <c r="A228" s="1">
        <v>244341</v>
      </c>
      <c r="B228" t="s">
        <v>18</v>
      </c>
      <c r="C228" t="s">
        <v>292</v>
      </c>
      <c r="D228" t="s">
        <v>293</v>
      </c>
      <c r="F228">
        <v>5000</v>
      </c>
      <c r="I228">
        <v>-232369.19</v>
      </c>
    </row>
    <row r="229" spans="1:9" x14ac:dyDescent="0.2">
      <c r="A229" s="1">
        <v>244341</v>
      </c>
      <c r="B229" t="s">
        <v>18</v>
      </c>
      <c r="C229" t="s">
        <v>294</v>
      </c>
      <c r="D229" t="s">
        <v>295</v>
      </c>
      <c r="G229">
        <v>3000</v>
      </c>
      <c r="I229">
        <v>-235369.19</v>
      </c>
    </row>
    <row r="230" spans="1:9" x14ac:dyDescent="0.2">
      <c r="A230" s="1">
        <v>244341</v>
      </c>
      <c r="B230" t="s">
        <v>18</v>
      </c>
      <c r="C230" t="s">
        <v>294</v>
      </c>
      <c r="D230" t="s">
        <v>296</v>
      </c>
      <c r="G230">
        <v>3000</v>
      </c>
      <c r="I230">
        <v>-238369.19</v>
      </c>
    </row>
    <row r="231" spans="1:9" x14ac:dyDescent="0.2">
      <c r="A231" s="1">
        <v>244341</v>
      </c>
      <c r="B231" t="s">
        <v>18</v>
      </c>
      <c r="C231" t="s">
        <v>294</v>
      </c>
      <c r="D231" t="s">
        <v>297</v>
      </c>
      <c r="F231">
        <v>5000</v>
      </c>
      <c r="I231">
        <v>-233369.19</v>
      </c>
    </row>
    <row r="232" spans="1:9" x14ac:dyDescent="0.2">
      <c r="A232" s="1">
        <v>244342</v>
      </c>
      <c r="B232" t="s">
        <v>18</v>
      </c>
      <c r="C232" t="s">
        <v>298</v>
      </c>
      <c r="D232" t="s">
        <v>299</v>
      </c>
      <c r="F232">
        <v>33000</v>
      </c>
      <c r="I232">
        <v>-200369.19</v>
      </c>
    </row>
    <row r="233" spans="1:9" x14ac:dyDescent="0.2">
      <c r="A233" s="1">
        <v>244342</v>
      </c>
      <c r="B233" t="s">
        <v>18</v>
      </c>
      <c r="C233" t="s">
        <v>300</v>
      </c>
      <c r="D233" t="s">
        <v>301</v>
      </c>
      <c r="F233">
        <v>1000</v>
      </c>
      <c r="I233">
        <v>-199369.19</v>
      </c>
    </row>
    <row r="234" spans="1:9" x14ac:dyDescent="0.2">
      <c r="A234" s="1">
        <v>244342</v>
      </c>
      <c r="B234" t="s">
        <v>18</v>
      </c>
      <c r="C234" t="s">
        <v>302</v>
      </c>
      <c r="D234" t="s">
        <v>303</v>
      </c>
      <c r="F234">
        <v>3000</v>
      </c>
      <c r="I234">
        <v>-196369.19</v>
      </c>
    </row>
    <row r="235" spans="1:9" x14ac:dyDescent="0.2">
      <c r="A235" s="1">
        <v>244342</v>
      </c>
      <c r="B235" t="s">
        <v>18</v>
      </c>
      <c r="C235" t="s">
        <v>304</v>
      </c>
      <c r="D235" t="s">
        <v>305</v>
      </c>
      <c r="G235">
        <v>5000</v>
      </c>
      <c r="I235">
        <v>-201369.19</v>
      </c>
    </row>
    <row r="236" spans="1:9" x14ac:dyDescent="0.2">
      <c r="A236" s="1">
        <v>244342</v>
      </c>
      <c r="B236" t="s">
        <v>18</v>
      </c>
      <c r="C236" t="s">
        <v>304</v>
      </c>
      <c r="D236" t="s">
        <v>306</v>
      </c>
      <c r="G236">
        <v>3000</v>
      </c>
      <c r="I236">
        <v>-204369.19</v>
      </c>
    </row>
    <row r="237" spans="1:9" x14ac:dyDescent="0.2">
      <c r="A237" s="1">
        <v>244342</v>
      </c>
      <c r="B237" t="s">
        <v>18</v>
      </c>
      <c r="C237" t="s">
        <v>304</v>
      </c>
      <c r="D237" t="s">
        <v>307</v>
      </c>
      <c r="G237">
        <v>1000</v>
      </c>
      <c r="I237">
        <v>-205369.19</v>
      </c>
    </row>
    <row r="238" spans="1:9" x14ac:dyDescent="0.2">
      <c r="A238" s="1">
        <v>244342</v>
      </c>
      <c r="B238" t="s">
        <v>18</v>
      </c>
      <c r="C238" t="s">
        <v>304</v>
      </c>
      <c r="D238" t="s">
        <v>308</v>
      </c>
      <c r="G238">
        <v>3000</v>
      </c>
      <c r="I238">
        <v>-208369.19</v>
      </c>
    </row>
    <row r="239" spans="1:9" x14ac:dyDescent="0.2">
      <c r="A239" s="1">
        <v>244342</v>
      </c>
      <c r="B239" t="s">
        <v>18</v>
      </c>
      <c r="C239" t="s">
        <v>304</v>
      </c>
      <c r="D239" t="s">
        <v>309</v>
      </c>
      <c r="G239">
        <v>1000</v>
      </c>
      <c r="I239">
        <v>-209369.19</v>
      </c>
    </row>
    <row r="240" spans="1:9" x14ac:dyDescent="0.2">
      <c r="A240" s="1">
        <v>244342</v>
      </c>
      <c r="B240" t="s">
        <v>18</v>
      </c>
      <c r="C240" t="s">
        <v>304</v>
      </c>
      <c r="D240" t="s">
        <v>310</v>
      </c>
      <c r="G240">
        <v>1000</v>
      </c>
      <c r="I240">
        <v>-210369.19</v>
      </c>
    </row>
    <row r="241" spans="1:9" x14ac:dyDescent="0.2">
      <c r="A241" s="1">
        <v>244342</v>
      </c>
      <c r="B241" t="s">
        <v>18</v>
      </c>
      <c r="C241" t="s">
        <v>304</v>
      </c>
      <c r="D241" t="s">
        <v>311</v>
      </c>
      <c r="G241">
        <v>2000</v>
      </c>
      <c r="I241">
        <v>-212369.19</v>
      </c>
    </row>
    <row r="242" spans="1:9" x14ac:dyDescent="0.2">
      <c r="A242" s="1">
        <v>244342</v>
      </c>
      <c r="B242" t="s">
        <v>18</v>
      </c>
      <c r="C242" t="s">
        <v>304</v>
      </c>
      <c r="D242" t="s">
        <v>312</v>
      </c>
      <c r="G242">
        <v>3000</v>
      </c>
      <c r="I242">
        <v>-215369.19</v>
      </c>
    </row>
    <row r="243" spans="1:9" x14ac:dyDescent="0.2">
      <c r="A243" s="1">
        <v>244342</v>
      </c>
      <c r="B243" t="s">
        <v>18</v>
      </c>
      <c r="C243" t="s">
        <v>304</v>
      </c>
      <c r="D243" t="s">
        <v>313</v>
      </c>
      <c r="G243">
        <v>2000</v>
      </c>
      <c r="I243">
        <v>-217369.19</v>
      </c>
    </row>
    <row r="244" spans="1:9" x14ac:dyDescent="0.2">
      <c r="A244" s="1">
        <v>244342</v>
      </c>
      <c r="B244" t="s">
        <v>18</v>
      </c>
      <c r="C244" t="s">
        <v>304</v>
      </c>
      <c r="D244" t="s">
        <v>314</v>
      </c>
      <c r="G244">
        <v>1000</v>
      </c>
      <c r="I244">
        <v>-218369.19</v>
      </c>
    </row>
    <row r="245" spans="1:9" x14ac:dyDescent="0.2">
      <c r="A245" s="1">
        <v>244342</v>
      </c>
      <c r="B245" t="s">
        <v>18</v>
      </c>
      <c r="C245" t="s">
        <v>304</v>
      </c>
      <c r="D245" t="s">
        <v>315</v>
      </c>
      <c r="G245">
        <v>3000</v>
      </c>
      <c r="I245">
        <v>-221369.19</v>
      </c>
    </row>
    <row r="246" spans="1:9" x14ac:dyDescent="0.2">
      <c r="A246" s="1">
        <v>244342</v>
      </c>
      <c r="B246" t="s">
        <v>18</v>
      </c>
      <c r="C246" t="s">
        <v>304</v>
      </c>
      <c r="D246" t="s">
        <v>316</v>
      </c>
      <c r="G246">
        <v>3000</v>
      </c>
      <c r="I246">
        <v>-224369.19</v>
      </c>
    </row>
    <row r="247" spans="1:9" x14ac:dyDescent="0.2">
      <c r="A247" s="1">
        <v>244342</v>
      </c>
      <c r="B247" t="s">
        <v>18</v>
      </c>
      <c r="C247" t="s">
        <v>304</v>
      </c>
      <c r="D247" t="s">
        <v>317</v>
      </c>
      <c r="G247">
        <v>10000</v>
      </c>
      <c r="I247">
        <v>-234369.19</v>
      </c>
    </row>
    <row r="248" spans="1:9" x14ac:dyDescent="0.2">
      <c r="A248" s="1">
        <v>244342</v>
      </c>
      <c r="B248" t="s">
        <v>18</v>
      </c>
      <c r="C248" t="s">
        <v>304</v>
      </c>
      <c r="D248" t="s">
        <v>318</v>
      </c>
      <c r="G248">
        <v>3000</v>
      </c>
      <c r="I248">
        <v>-237369.19</v>
      </c>
    </row>
    <row r="249" spans="1:9" x14ac:dyDescent="0.2">
      <c r="A249" s="1">
        <v>244342</v>
      </c>
      <c r="B249" t="s">
        <v>18</v>
      </c>
      <c r="C249" t="s">
        <v>304</v>
      </c>
      <c r="D249" t="s">
        <v>319</v>
      </c>
      <c r="F249">
        <v>3000</v>
      </c>
      <c r="I249">
        <v>-234369.19</v>
      </c>
    </row>
    <row r="250" spans="1:9" x14ac:dyDescent="0.2">
      <c r="A250" s="1">
        <v>244343</v>
      </c>
      <c r="B250" t="s">
        <v>18</v>
      </c>
      <c r="C250" t="s">
        <v>320</v>
      </c>
      <c r="D250" t="s">
        <v>321</v>
      </c>
      <c r="F250">
        <v>1000</v>
      </c>
      <c r="I250">
        <v>-233369.19</v>
      </c>
    </row>
    <row r="251" spans="1:9" x14ac:dyDescent="0.2">
      <c r="A251" s="1">
        <v>244343</v>
      </c>
      <c r="B251" t="s">
        <v>18</v>
      </c>
      <c r="C251" t="s">
        <v>320</v>
      </c>
      <c r="D251" t="s">
        <v>322</v>
      </c>
      <c r="F251">
        <v>5000</v>
      </c>
      <c r="I251">
        <v>-228369.19</v>
      </c>
    </row>
    <row r="252" spans="1:9" x14ac:dyDescent="0.2">
      <c r="A252" s="1">
        <v>244343</v>
      </c>
      <c r="B252" t="s">
        <v>18</v>
      </c>
      <c r="C252" t="s">
        <v>320</v>
      </c>
      <c r="D252" t="s">
        <v>323</v>
      </c>
      <c r="F252">
        <v>3000</v>
      </c>
      <c r="I252">
        <v>-225369.19</v>
      </c>
    </row>
    <row r="253" spans="1:9" x14ac:dyDescent="0.2">
      <c r="A253" s="1">
        <v>244343</v>
      </c>
      <c r="B253" t="s">
        <v>18</v>
      </c>
      <c r="C253" t="s">
        <v>320</v>
      </c>
      <c r="D253" t="s">
        <v>324</v>
      </c>
      <c r="G253">
        <v>3000</v>
      </c>
      <c r="I253">
        <v>-228369.19</v>
      </c>
    </row>
    <row r="254" spans="1:9" x14ac:dyDescent="0.2">
      <c r="A254" s="1">
        <v>244343</v>
      </c>
      <c r="B254" t="s">
        <v>18</v>
      </c>
      <c r="C254" t="s">
        <v>320</v>
      </c>
      <c r="D254" t="s">
        <v>325</v>
      </c>
      <c r="G254">
        <v>2000</v>
      </c>
      <c r="I254">
        <v>-230369.19</v>
      </c>
    </row>
    <row r="255" spans="1:9" x14ac:dyDescent="0.2">
      <c r="A255" s="1">
        <v>244343</v>
      </c>
      <c r="B255" t="s">
        <v>18</v>
      </c>
      <c r="C255" t="s">
        <v>320</v>
      </c>
      <c r="D255" t="s">
        <v>326</v>
      </c>
      <c r="G255">
        <v>5000</v>
      </c>
      <c r="I255">
        <v>-235369.19</v>
      </c>
    </row>
    <row r="256" spans="1:9" x14ac:dyDescent="0.2">
      <c r="A256" s="1">
        <v>244343</v>
      </c>
      <c r="B256" t="s">
        <v>18</v>
      </c>
      <c r="C256" t="s">
        <v>320</v>
      </c>
      <c r="D256" t="s">
        <v>327</v>
      </c>
      <c r="G256">
        <v>2000</v>
      </c>
      <c r="I256">
        <v>-237369.19</v>
      </c>
    </row>
    <row r="257" spans="1:9" x14ac:dyDescent="0.2">
      <c r="A257" s="1">
        <v>244343</v>
      </c>
      <c r="B257" t="s">
        <v>18</v>
      </c>
      <c r="C257" t="s">
        <v>320</v>
      </c>
      <c r="D257" t="s">
        <v>328</v>
      </c>
      <c r="G257">
        <v>2000</v>
      </c>
      <c r="I257">
        <v>-239369.19</v>
      </c>
    </row>
    <row r="258" spans="1:9" x14ac:dyDescent="0.2">
      <c r="A258" s="1">
        <v>244343</v>
      </c>
      <c r="B258" t="s">
        <v>18</v>
      </c>
      <c r="C258" t="s">
        <v>320</v>
      </c>
      <c r="D258" t="s">
        <v>329</v>
      </c>
      <c r="G258">
        <v>2000</v>
      </c>
      <c r="I258">
        <v>-241369.19</v>
      </c>
    </row>
    <row r="259" spans="1:9" x14ac:dyDescent="0.2">
      <c r="A259" s="1">
        <v>244343</v>
      </c>
      <c r="B259" t="s">
        <v>18</v>
      </c>
      <c r="C259" t="s">
        <v>320</v>
      </c>
      <c r="D259" t="s">
        <v>330</v>
      </c>
      <c r="G259">
        <v>3000</v>
      </c>
      <c r="I259">
        <v>-244369.19</v>
      </c>
    </row>
    <row r="260" spans="1:9" x14ac:dyDescent="0.2">
      <c r="A260" s="1">
        <v>244343</v>
      </c>
      <c r="B260" t="s">
        <v>18</v>
      </c>
      <c r="C260" t="s">
        <v>320</v>
      </c>
      <c r="D260" t="s">
        <v>331</v>
      </c>
      <c r="G260">
        <v>2000</v>
      </c>
      <c r="I260">
        <v>-246369.19</v>
      </c>
    </row>
    <row r="261" spans="1:9" x14ac:dyDescent="0.2">
      <c r="A261" s="1">
        <v>244344</v>
      </c>
      <c r="B261" t="s">
        <v>18</v>
      </c>
      <c r="C261" t="s">
        <v>332</v>
      </c>
      <c r="D261" t="s">
        <v>333</v>
      </c>
      <c r="F261">
        <v>3000</v>
      </c>
      <c r="I261">
        <v>-243369.19</v>
      </c>
    </row>
    <row r="262" spans="1:9" x14ac:dyDescent="0.2">
      <c r="A262" s="1">
        <v>244344</v>
      </c>
      <c r="B262" t="s">
        <v>18</v>
      </c>
      <c r="C262" t="s">
        <v>334</v>
      </c>
      <c r="D262" t="s">
        <v>335</v>
      </c>
      <c r="F262">
        <v>3000</v>
      </c>
      <c r="I262">
        <v>-240369.19</v>
      </c>
    </row>
    <row r="263" spans="1:9" x14ac:dyDescent="0.2">
      <c r="A263" s="1">
        <v>244344</v>
      </c>
      <c r="B263" t="s">
        <v>18</v>
      </c>
      <c r="C263" t="s">
        <v>336</v>
      </c>
      <c r="D263" t="s">
        <v>337</v>
      </c>
      <c r="F263">
        <v>3000</v>
      </c>
      <c r="I263">
        <v>-237369.19</v>
      </c>
    </row>
    <row r="264" spans="1:9" x14ac:dyDescent="0.2">
      <c r="A264" s="1">
        <v>244344</v>
      </c>
      <c r="B264" t="s">
        <v>18</v>
      </c>
      <c r="C264" t="s">
        <v>336</v>
      </c>
      <c r="D264" t="s">
        <v>338</v>
      </c>
      <c r="G264">
        <v>3000</v>
      </c>
      <c r="I264">
        <v>-240369.19</v>
      </c>
    </row>
    <row r="265" spans="1:9" x14ac:dyDescent="0.2">
      <c r="A265" s="1">
        <v>244344</v>
      </c>
      <c r="B265" t="s">
        <v>18</v>
      </c>
      <c r="C265" t="s">
        <v>336</v>
      </c>
      <c r="D265" t="s">
        <v>339</v>
      </c>
      <c r="G265">
        <v>5000</v>
      </c>
      <c r="I265">
        <v>-245369.19</v>
      </c>
    </row>
    <row r="266" spans="1:9" x14ac:dyDescent="0.2">
      <c r="A266" s="1">
        <v>244344</v>
      </c>
      <c r="B266" t="s">
        <v>18</v>
      </c>
      <c r="C266" t="s">
        <v>336</v>
      </c>
      <c r="D266" t="s">
        <v>340</v>
      </c>
      <c r="G266">
        <v>3000</v>
      </c>
      <c r="I266">
        <v>-248369.19</v>
      </c>
    </row>
    <row r="267" spans="1:9" x14ac:dyDescent="0.2">
      <c r="A267" s="1">
        <v>244344</v>
      </c>
      <c r="B267" t="s">
        <v>18</v>
      </c>
      <c r="C267" t="s">
        <v>336</v>
      </c>
      <c r="D267" t="s">
        <v>341</v>
      </c>
      <c r="G267">
        <v>3000</v>
      </c>
      <c r="I267">
        <v>-251369.19</v>
      </c>
    </row>
    <row r="268" spans="1:9" x14ac:dyDescent="0.2">
      <c r="A268" s="1">
        <v>244345</v>
      </c>
      <c r="B268" t="s">
        <v>18</v>
      </c>
      <c r="C268" t="s">
        <v>342</v>
      </c>
      <c r="D268" t="s">
        <v>343</v>
      </c>
      <c r="G268">
        <v>3000</v>
      </c>
      <c r="I268">
        <v>-254369.19</v>
      </c>
    </row>
    <row r="269" spans="1:9" x14ac:dyDescent="0.2">
      <c r="A269" s="1">
        <v>244345</v>
      </c>
      <c r="B269" t="s">
        <v>18</v>
      </c>
      <c r="C269" t="s">
        <v>342</v>
      </c>
      <c r="D269" t="s">
        <v>344</v>
      </c>
      <c r="G269">
        <v>2000</v>
      </c>
      <c r="I269">
        <v>-256369.19</v>
      </c>
    </row>
    <row r="270" spans="1:9" x14ac:dyDescent="0.2">
      <c r="A270" s="1">
        <v>244347</v>
      </c>
      <c r="B270" t="s">
        <v>18</v>
      </c>
      <c r="C270" t="s">
        <v>345</v>
      </c>
      <c r="D270" t="s">
        <v>346</v>
      </c>
      <c r="F270">
        <v>5000</v>
      </c>
      <c r="I270">
        <v>-251369.19</v>
      </c>
    </row>
    <row r="271" spans="1:9" x14ac:dyDescent="0.2">
      <c r="A271" s="1">
        <v>244347</v>
      </c>
      <c r="B271" t="s">
        <v>18</v>
      </c>
      <c r="C271" t="s">
        <v>347</v>
      </c>
      <c r="D271" t="s">
        <v>348</v>
      </c>
      <c r="F271">
        <v>3000</v>
      </c>
      <c r="I271">
        <v>-248369.19</v>
      </c>
    </row>
    <row r="272" spans="1:9" x14ac:dyDescent="0.2">
      <c r="A272" s="1">
        <v>244347</v>
      </c>
      <c r="B272" t="s">
        <v>18</v>
      </c>
      <c r="C272" t="s">
        <v>349</v>
      </c>
      <c r="D272" t="s">
        <v>350</v>
      </c>
      <c r="F272">
        <v>10000</v>
      </c>
      <c r="I272">
        <v>-238369.19</v>
      </c>
    </row>
    <row r="273" spans="1:9" x14ac:dyDescent="0.2">
      <c r="A273" s="1">
        <v>244348</v>
      </c>
      <c r="B273" t="s">
        <v>18</v>
      </c>
      <c r="C273" t="s">
        <v>351</v>
      </c>
      <c r="D273" t="s">
        <v>352</v>
      </c>
      <c r="F273">
        <v>1000</v>
      </c>
      <c r="I273">
        <v>-237369.19</v>
      </c>
    </row>
    <row r="274" spans="1:9" x14ac:dyDescent="0.2">
      <c r="A274" s="1">
        <v>244348</v>
      </c>
      <c r="B274" t="s">
        <v>18</v>
      </c>
      <c r="C274" t="s">
        <v>353</v>
      </c>
      <c r="D274" t="s">
        <v>131</v>
      </c>
      <c r="F274">
        <v>3000</v>
      </c>
      <c r="I274">
        <v>-234369.19</v>
      </c>
    </row>
    <row r="275" spans="1:9" x14ac:dyDescent="0.2">
      <c r="A275" s="1">
        <v>244348</v>
      </c>
      <c r="B275" t="s">
        <v>18</v>
      </c>
      <c r="C275" t="s">
        <v>354</v>
      </c>
      <c r="D275" t="s">
        <v>355</v>
      </c>
      <c r="F275">
        <v>3000</v>
      </c>
      <c r="I275">
        <v>-231369.19</v>
      </c>
    </row>
    <row r="276" spans="1:9" x14ac:dyDescent="0.2">
      <c r="A276" s="1">
        <v>244348</v>
      </c>
      <c r="B276" t="s">
        <v>18</v>
      </c>
      <c r="C276" t="s">
        <v>356</v>
      </c>
      <c r="D276" t="s">
        <v>357</v>
      </c>
      <c r="F276">
        <v>3000</v>
      </c>
      <c r="I276">
        <v>-228369.19</v>
      </c>
    </row>
    <row r="277" spans="1:9" x14ac:dyDescent="0.2">
      <c r="A277" s="1">
        <v>244348</v>
      </c>
      <c r="B277" t="s">
        <v>18</v>
      </c>
      <c r="C277" t="s">
        <v>358</v>
      </c>
      <c r="D277" t="s">
        <v>359</v>
      </c>
      <c r="F277">
        <v>5000</v>
      </c>
      <c r="I277">
        <v>-223369.19</v>
      </c>
    </row>
    <row r="278" spans="1:9" x14ac:dyDescent="0.2">
      <c r="A278" s="1">
        <v>244348</v>
      </c>
      <c r="B278" t="s">
        <v>18</v>
      </c>
      <c r="C278" t="s">
        <v>360</v>
      </c>
      <c r="D278" t="s">
        <v>361</v>
      </c>
      <c r="F278">
        <v>13000</v>
      </c>
      <c r="I278">
        <v>-210369.19</v>
      </c>
    </row>
    <row r="279" spans="1:9" x14ac:dyDescent="0.2">
      <c r="A279" s="1">
        <v>244348</v>
      </c>
      <c r="B279" t="s">
        <v>18</v>
      </c>
      <c r="C279" t="s">
        <v>362</v>
      </c>
      <c r="D279" t="s">
        <v>363</v>
      </c>
      <c r="F279">
        <v>10000</v>
      </c>
      <c r="I279">
        <v>-200369.19</v>
      </c>
    </row>
    <row r="280" spans="1:9" x14ac:dyDescent="0.2">
      <c r="A280" s="1">
        <v>244348</v>
      </c>
      <c r="B280" t="s">
        <v>18</v>
      </c>
      <c r="C280" t="s">
        <v>362</v>
      </c>
      <c r="D280" t="s">
        <v>364</v>
      </c>
      <c r="F280">
        <v>3000</v>
      </c>
      <c r="I280">
        <v>-197369.19</v>
      </c>
    </row>
    <row r="281" spans="1:9" x14ac:dyDescent="0.2">
      <c r="A281" s="1">
        <v>244348</v>
      </c>
      <c r="B281" t="s">
        <v>18</v>
      </c>
      <c r="C281" t="s">
        <v>365</v>
      </c>
      <c r="D281" t="s">
        <v>366</v>
      </c>
      <c r="F281">
        <v>5000</v>
      </c>
      <c r="I281">
        <v>-192369.19</v>
      </c>
    </row>
    <row r="282" spans="1:9" x14ac:dyDescent="0.2">
      <c r="A282" s="1">
        <v>244348</v>
      </c>
      <c r="B282" t="s">
        <v>18</v>
      </c>
      <c r="C282" t="s">
        <v>365</v>
      </c>
      <c r="D282" t="s">
        <v>367</v>
      </c>
      <c r="F282">
        <v>1000</v>
      </c>
      <c r="I282">
        <v>-191369.19</v>
      </c>
    </row>
    <row r="283" spans="1:9" x14ac:dyDescent="0.2">
      <c r="A283" s="1">
        <v>244348</v>
      </c>
      <c r="B283" t="s">
        <v>18</v>
      </c>
      <c r="C283" t="s">
        <v>365</v>
      </c>
      <c r="D283" t="s">
        <v>368</v>
      </c>
      <c r="F283">
        <v>3000</v>
      </c>
      <c r="I283">
        <v>-188369.19</v>
      </c>
    </row>
    <row r="284" spans="1:9" x14ac:dyDescent="0.2">
      <c r="A284" s="1">
        <v>244348</v>
      </c>
      <c r="B284" t="s">
        <v>18</v>
      </c>
      <c r="C284" t="s">
        <v>365</v>
      </c>
      <c r="D284" t="s">
        <v>369</v>
      </c>
      <c r="F284">
        <v>3000</v>
      </c>
      <c r="I284">
        <v>-185369.19</v>
      </c>
    </row>
    <row r="285" spans="1:9" x14ac:dyDescent="0.2">
      <c r="A285" s="1">
        <v>244348</v>
      </c>
      <c r="B285" t="s">
        <v>18</v>
      </c>
      <c r="C285" t="s">
        <v>365</v>
      </c>
      <c r="D285" t="s">
        <v>370</v>
      </c>
      <c r="F285">
        <v>3000</v>
      </c>
      <c r="I285">
        <v>-182369.19</v>
      </c>
    </row>
    <row r="286" spans="1:9" x14ac:dyDescent="0.2">
      <c r="A286" s="1">
        <v>244348</v>
      </c>
      <c r="B286" t="s">
        <v>371</v>
      </c>
      <c r="C286" t="s">
        <v>372</v>
      </c>
      <c r="D286" t="s">
        <v>373</v>
      </c>
      <c r="G286">
        <v>196.26</v>
      </c>
      <c r="I286">
        <v>-182565.45</v>
      </c>
    </row>
    <row r="287" spans="1:9" x14ac:dyDescent="0.2">
      <c r="A287" s="1">
        <v>244348</v>
      </c>
      <c r="B287" t="s">
        <v>371</v>
      </c>
      <c r="C287" t="s">
        <v>372</v>
      </c>
      <c r="D287" t="s">
        <v>374</v>
      </c>
      <c r="G287">
        <v>327.10000000000002</v>
      </c>
      <c r="I287">
        <v>-182892.55</v>
      </c>
    </row>
    <row r="288" spans="1:9" x14ac:dyDescent="0.2">
      <c r="A288" s="1">
        <v>244348</v>
      </c>
      <c r="B288" t="s">
        <v>371</v>
      </c>
      <c r="C288" t="s">
        <v>375</v>
      </c>
      <c r="D288" t="s">
        <v>376</v>
      </c>
      <c r="F288">
        <v>327.10000000000002</v>
      </c>
      <c r="I288">
        <v>-182565.45</v>
      </c>
    </row>
    <row r="289" spans="1:9" x14ac:dyDescent="0.2">
      <c r="A289" s="1">
        <v>244348</v>
      </c>
      <c r="B289" t="s">
        <v>371</v>
      </c>
      <c r="C289" t="s">
        <v>375</v>
      </c>
      <c r="D289" t="s">
        <v>377</v>
      </c>
      <c r="F289">
        <v>654.21</v>
      </c>
      <c r="I289">
        <v>-181911.24</v>
      </c>
    </row>
    <row r="290" spans="1:9" x14ac:dyDescent="0.2">
      <c r="A290" s="1">
        <v>244348</v>
      </c>
      <c r="B290" t="s">
        <v>371</v>
      </c>
      <c r="C290" t="s">
        <v>375</v>
      </c>
      <c r="D290" t="s">
        <v>378</v>
      </c>
      <c r="F290">
        <v>130.84</v>
      </c>
      <c r="I290">
        <v>-181780.4</v>
      </c>
    </row>
    <row r="291" spans="1:9" x14ac:dyDescent="0.2">
      <c r="A291" s="1">
        <v>244348</v>
      </c>
      <c r="B291" t="s">
        <v>371</v>
      </c>
      <c r="C291" t="s">
        <v>375</v>
      </c>
      <c r="D291" t="s">
        <v>379</v>
      </c>
      <c r="F291">
        <v>327.10000000000002</v>
      </c>
      <c r="I291">
        <v>-181453.3</v>
      </c>
    </row>
    <row r="292" spans="1:9" x14ac:dyDescent="0.2">
      <c r="A292" s="1">
        <v>244348</v>
      </c>
      <c r="B292" t="s">
        <v>371</v>
      </c>
      <c r="C292" t="s">
        <v>375</v>
      </c>
      <c r="D292" t="s">
        <v>380</v>
      </c>
      <c r="F292">
        <v>196.26</v>
      </c>
      <c r="I292">
        <v>-181257.04</v>
      </c>
    </row>
    <row r="293" spans="1:9" x14ac:dyDescent="0.2">
      <c r="A293" s="1">
        <v>244348</v>
      </c>
      <c r="B293" t="s">
        <v>371</v>
      </c>
      <c r="C293" t="s">
        <v>375</v>
      </c>
      <c r="D293" t="s">
        <v>381</v>
      </c>
      <c r="F293">
        <v>130.84</v>
      </c>
      <c r="I293">
        <v>-181126.2</v>
      </c>
    </row>
    <row r="294" spans="1:9" x14ac:dyDescent="0.2">
      <c r="A294" s="1">
        <v>244348</v>
      </c>
      <c r="B294" t="s">
        <v>371</v>
      </c>
      <c r="C294" t="s">
        <v>375</v>
      </c>
      <c r="D294" t="s">
        <v>382</v>
      </c>
      <c r="F294">
        <v>196.26</v>
      </c>
      <c r="I294">
        <v>-180929.94</v>
      </c>
    </row>
    <row r="295" spans="1:9" x14ac:dyDescent="0.2">
      <c r="A295" s="1">
        <v>244348</v>
      </c>
      <c r="B295" t="s">
        <v>371</v>
      </c>
      <c r="C295" t="s">
        <v>375</v>
      </c>
      <c r="D295" t="s">
        <v>383</v>
      </c>
      <c r="F295">
        <v>196.26</v>
      </c>
      <c r="I295">
        <v>-180733.68</v>
      </c>
    </row>
    <row r="296" spans="1:9" x14ac:dyDescent="0.2">
      <c r="A296" s="1">
        <v>244348</v>
      </c>
      <c r="B296" t="s">
        <v>371</v>
      </c>
      <c r="C296" t="s">
        <v>375</v>
      </c>
      <c r="D296" t="s">
        <v>384</v>
      </c>
      <c r="F296">
        <v>65.42</v>
      </c>
      <c r="I296">
        <v>-180668.26</v>
      </c>
    </row>
    <row r="297" spans="1:9" x14ac:dyDescent="0.2">
      <c r="A297" s="1">
        <v>244348</v>
      </c>
      <c r="B297" t="s">
        <v>371</v>
      </c>
      <c r="C297" t="s">
        <v>375</v>
      </c>
      <c r="D297" t="s">
        <v>385</v>
      </c>
      <c r="F297">
        <v>196.26</v>
      </c>
      <c r="I297">
        <v>-180472</v>
      </c>
    </row>
    <row r="298" spans="1:9" x14ac:dyDescent="0.2">
      <c r="A298" s="1">
        <v>244348</v>
      </c>
      <c r="B298" t="s">
        <v>371</v>
      </c>
      <c r="C298" t="s">
        <v>375</v>
      </c>
      <c r="D298" t="s">
        <v>386</v>
      </c>
      <c r="F298">
        <v>261.68</v>
      </c>
      <c r="I298">
        <v>-180210.32</v>
      </c>
    </row>
    <row r="299" spans="1:9" x14ac:dyDescent="0.2">
      <c r="A299" s="1">
        <v>244348</v>
      </c>
      <c r="B299" t="s">
        <v>371</v>
      </c>
      <c r="C299" t="s">
        <v>375</v>
      </c>
      <c r="D299" t="s">
        <v>387</v>
      </c>
      <c r="F299">
        <v>8825.23</v>
      </c>
      <c r="I299">
        <v>-171385.09</v>
      </c>
    </row>
    <row r="300" spans="1:9" x14ac:dyDescent="0.2">
      <c r="A300" s="1">
        <v>244348</v>
      </c>
      <c r="B300" t="s">
        <v>371</v>
      </c>
      <c r="C300" t="s">
        <v>375</v>
      </c>
      <c r="D300" t="s">
        <v>388</v>
      </c>
      <c r="F300">
        <v>196.26</v>
      </c>
      <c r="I300">
        <v>-171188.83</v>
      </c>
    </row>
    <row r="301" spans="1:9" x14ac:dyDescent="0.2">
      <c r="A301" s="1">
        <v>244348</v>
      </c>
      <c r="B301" t="s">
        <v>371</v>
      </c>
      <c r="C301" t="s">
        <v>375</v>
      </c>
      <c r="D301" t="s">
        <v>389</v>
      </c>
      <c r="F301">
        <v>65.42</v>
      </c>
      <c r="I301">
        <v>-171123.41</v>
      </c>
    </row>
    <row r="302" spans="1:9" x14ac:dyDescent="0.2">
      <c r="A302" s="1">
        <v>244348</v>
      </c>
      <c r="B302" t="s">
        <v>371</v>
      </c>
      <c r="C302" t="s">
        <v>375</v>
      </c>
      <c r="D302" t="s">
        <v>390</v>
      </c>
      <c r="F302">
        <v>196.26</v>
      </c>
      <c r="I302">
        <v>-170927.15</v>
      </c>
    </row>
    <row r="303" spans="1:9" x14ac:dyDescent="0.2">
      <c r="A303" s="1">
        <v>244348</v>
      </c>
      <c r="B303" t="s">
        <v>371</v>
      </c>
      <c r="C303" t="s">
        <v>375</v>
      </c>
      <c r="D303" t="s">
        <v>391</v>
      </c>
      <c r="F303">
        <v>196.26</v>
      </c>
      <c r="I303">
        <v>-170730.89</v>
      </c>
    </row>
    <row r="304" spans="1:9" x14ac:dyDescent="0.2">
      <c r="A304" s="1">
        <v>244348</v>
      </c>
      <c r="B304" t="s">
        <v>371</v>
      </c>
      <c r="C304" t="s">
        <v>375</v>
      </c>
      <c r="D304" t="s">
        <v>392</v>
      </c>
      <c r="F304">
        <v>130.84</v>
      </c>
      <c r="I304">
        <v>-170600.05</v>
      </c>
    </row>
    <row r="305" spans="1:9" x14ac:dyDescent="0.2">
      <c r="A305" s="1">
        <v>244348</v>
      </c>
      <c r="B305" t="s">
        <v>371</v>
      </c>
      <c r="C305" t="s">
        <v>375</v>
      </c>
      <c r="D305" t="s">
        <v>393</v>
      </c>
      <c r="F305">
        <v>196.26</v>
      </c>
      <c r="I305">
        <v>-170403.79</v>
      </c>
    </row>
    <row r="306" spans="1:9" x14ac:dyDescent="0.2">
      <c r="A306" s="1">
        <v>244348</v>
      </c>
      <c r="B306" t="s">
        <v>371</v>
      </c>
      <c r="C306" t="s">
        <v>375</v>
      </c>
      <c r="D306" t="s">
        <v>394</v>
      </c>
      <c r="F306">
        <v>2158.88</v>
      </c>
      <c r="I306">
        <v>-168244.91</v>
      </c>
    </row>
    <row r="307" spans="1:9" x14ac:dyDescent="0.2">
      <c r="A307" s="1">
        <v>244348</v>
      </c>
      <c r="B307" t="s">
        <v>371</v>
      </c>
      <c r="C307" t="s">
        <v>375</v>
      </c>
      <c r="D307" t="s">
        <v>395</v>
      </c>
      <c r="F307">
        <v>196.26</v>
      </c>
      <c r="I307">
        <v>-168048.65</v>
      </c>
    </row>
    <row r="308" spans="1:9" x14ac:dyDescent="0.2">
      <c r="A308" s="1">
        <v>244348</v>
      </c>
      <c r="B308" t="s">
        <v>371</v>
      </c>
      <c r="C308" t="s">
        <v>375</v>
      </c>
      <c r="D308" t="s">
        <v>396</v>
      </c>
      <c r="F308">
        <v>1962.62</v>
      </c>
      <c r="I308">
        <v>-166086.03</v>
      </c>
    </row>
    <row r="309" spans="1:9" x14ac:dyDescent="0.2">
      <c r="A309" s="1">
        <v>244348</v>
      </c>
      <c r="B309" t="s">
        <v>371</v>
      </c>
      <c r="C309" t="s">
        <v>375</v>
      </c>
      <c r="D309" t="s">
        <v>397</v>
      </c>
      <c r="F309">
        <v>65.42</v>
      </c>
      <c r="I309">
        <v>-166020.60999999999</v>
      </c>
    </row>
    <row r="310" spans="1:9" x14ac:dyDescent="0.2">
      <c r="A310" s="1">
        <v>244348</v>
      </c>
      <c r="B310" t="s">
        <v>371</v>
      </c>
      <c r="C310" t="s">
        <v>375</v>
      </c>
      <c r="D310" t="s">
        <v>398</v>
      </c>
      <c r="F310">
        <v>327.10000000000002</v>
      </c>
      <c r="I310">
        <v>-165693.51</v>
      </c>
    </row>
    <row r="311" spans="1:9" x14ac:dyDescent="0.2">
      <c r="A311" s="1">
        <v>244348</v>
      </c>
      <c r="B311" t="s">
        <v>371</v>
      </c>
      <c r="C311" t="s">
        <v>375</v>
      </c>
      <c r="D311" t="s">
        <v>399</v>
      </c>
      <c r="F311">
        <v>196.26</v>
      </c>
      <c r="I311">
        <v>-165497.25</v>
      </c>
    </row>
    <row r="312" spans="1:9" x14ac:dyDescent="0.2">
      <c r="A312" s="1">
        <v>244348</v>
      </c>
      <c r="B312" t="s">
        <v>371</v>
      </c>
      <c r="C312" t="s">
        <v>375</v>
      </c>
      <c r="D312" t="s">
        <v>400</v>
      </c>
      <c r="F312">
        <v>196.26</v>
      </c>
      <c r="I312">
        <v>-165300.99</v>
      </c>
    </row>
    <row r="313" spans="1:9" x14ac:dyDescent="0.2">
      <c r="A313" s="1">
        <v>244348</v>
      </c>
      <c r="B313" t="s">
        <v>371</v>
      </c>
      <c r="C313" t="s">
        <v>375</v>
      </c>
      <c r="D313" t="s">
        <v>401</v>
      </c>
      <c r="F313">
        <v>654.21</v>
      </c>
      <c r="I313">
        <v>-164646.78</v>
      </c>
    </row>
    <row r="314" spans="1:9" x14ac:dyDescent="0.2">
      <c r="A314" s="1">
        <v>244348</v>
      </c>
      <c r="B314" t="s">
        <v>371</v>
      </c>
      <c r="C314" t="s">
        <v>375</v>
      </c>
      <c r="D314" t="s">
        <v>402</v>
      </c>
      <c r="F314">
        <v>65.42</v>
      </c>
      <c r="I314">
        <v>-164581.35999999999</v>
      </c>
    </row>
    <row r="315" spans="1:9" x14ac:dyDescent="0.2">
      <c r="A315" s="1">
        <v>244348</v>
      </c>
      <c r="B315" t="s">
        <v>371</v>
      </c>
      <c r="C315" t="s">
        <v>375</v>
      </c>
      <c r="D315" t="s">
        <v>397</v>
      </c>
      <c r="F315">
        <v>65.42</v>
      </c>
      <c r="I315">
        <v>-164515.94</v>
      </c>
    </row>
    <row r="316" spans="1:9" x14ac:dyDescent="0.2">
      <c r="A316" s="1">
        <v>244348</v>
      </c>
      <c r="B316" t="s">
        <v>371</v>
      </c>
      <c r="C316" t="s">
        <v>375</v>
      </c>
      <c r="D316" t="s">
        <v>403</v>
      </c>
      <c r="F316">
        <v>196.26</v>
      </c>
      <c r="I316">
        <v>-164319.67999999999</v>
      </c>
    </row>
    <row r="317" spans="1:9" x14ac:dyDescent="0.2">
      <c r="A317" s="1">
        <v>244348</v>
      </c>
      <c r="B317" t="s">
        <v>371</v>
      </c>
      <c r="C317" t="s">
        <v>375</v>
      </c>
      <c r="D317" t="s">
        <v>404</v>
      </c>
      <c r="F317">
        <v>327.10000000000002</v>
      </c>
      <c r="I317">
        <v>-163992.57999999999</v>
      </c>
    </row>
    <row r="318" spans="1:9" x14ac:dyDescent="0.2">
      <c r="A318" s="1">
        <v>244348</v>
      </c>
      <c r="B318" t="s">
        <v>371</v>
      </c>
      <c r="C318" t="s">
        <v>375</v>
      </c>
      <c r="D318" t="s">
        <v>405</v>
      </c>
      <c r="F318">
        <v>196.26</v>
      </c>
      <c r="I318">
        <v>-163796.32</v>
      </c>
    </row>
    <row r="319" spans="1:9" x14ac:dyDescent="0.2">
      <c r="A319" s="1">
        <v>244348</v>
      </c>
      <c r="B319" t="s">
        <v>371</v>
      </c>
      <c r="C319" t="s">
        <v>375</v>
      </c>
      <c r="D319" t="s">
        <v>406</v>
      </c>
      <c r="F319">
        <v>647.66</v>
      </c>
      <c r="I319">
        <v>-163148.66</v>
      </c>
    </row>
    <row r="320" spans="1:9" x14ac:dyDescent="0.2">
      <c r="A320" s="1">
        <v>244348</v>
      </c>
      <c r="B320" t="s">
        <v>371</v>
      </c>
      <c r="C320" t="s">
        <v>375</v>
      </c>
      <c r="D320" t="s">
        <v>407</v>
      </c>
      <c r="F320">
        <v>228.97</v>
      </c>
      <c r="I320">
        <v>-162919.69</v>
      </c>
    </row>
    <row r="321" spans="1:9" x14ac:dyDescent="0.2">
      <c r="A321" s="1">
        <v>244348</v>
      </c>
      <c r="B321" t="s">
        <v>371</v>
      </c>
      <c r="C321" t="s">
        <v>375</v>
      </c>
      <c r="D321" t="s">
        <v>408</v>
      </c>
      <c r="F321">
        <v>196.26</v>
      </c>
      <c r="I321">
        <v>-162723.43</v>
      </c>
    </row>
    <row r="322" spans="1:9" x14ac:dyDescent="0.2">
      <c r="A322" s="1">
        <v>244348</v>
      </c>
      <c r="B322" t="s">
        <v>371</v>
      </c>
      <c r="C322" t="s">
        <v>375</v>
      </c>
      <c r="D322" t="s">
        <v>409</v>
      </c>
      <c r="F322">
        <v>327.10000000000002</v>
      </c>
      <c r="I322">
        <v>-162396.32999999999</v>
      </c>
    </row>
    <row r="323" spans="1:9" x14ac:dyDescent="0.2">
      <c r="A323" s="1">
        <v>244348</v>
      </c>
      <c r="B323" t="s">
        <v>371</v>
      </c>
      <c r="C323" t="s">
        <v>375</v>
      </c>
      <c r="D323" t="s">
        <v>410</v>
      </c>
      <c r="F323">
        <v>130.84</v>
      </c>
      <c r="I323">
        <v>-162265.49</v>
      </c>
    </row>
    <row r="324" spans="1:9" x14ac:dyDescent="0.2">
      <c r="A324" s="1">
        <v>244348</v>
      </c>
      <c r="B324" t="s">
        <v>371</v>
      </c>
      <c r="C324" t="s">
        <v>375</v>
      </c>
      <c r="D324" t="s">
        <v>411</v>
      </c>
      <c r="F324">
        <v>654.21</v>
      </c>
      <c r="I324">
        <v>-161611.28</v>
      </c>
    </row>
    <row r="325" spans="1:9" x14ac:dyDescent="0.2">
      <c r="A325" s="1">
        <v>244348</v>
      </c>
      <c r="B325" t="s">
        <v>371</v>
      </c>
      <c r="C325" t="s">
        <v>375</v>
      </c>
      <c r="D325" t="s">
        <v>412</v>
      </c>
      <c r="F325">
        <v>1962.62</v>
      </c>
      <c r="I325">
        <v>-159648.66</v>
      </c>
    </row>
    <row r="326" spans="1:9" x14ac:dyDescent="0.2">
      <c r="A326" s="1">
        <v>244348</v>
      </c>
      <c r="B326" t="s">
        <v>371</v>
      </c>
      <c r="C326" t="s">
        <v>375</v>
      </c>
      <c r="D326" t="s">
        <v>413</v>
      </c>
      <c r="F326">
        <v>196.26</v>
      </c>
      <c r="I326">
        <v>-159452.4</v>
      </c>
    </row>
    <row r="327" spans="1:9" x14ac:dyDescent="0.2">
      <c r="A327" s="1">
        <v>244348</v>
      </c>
      <c r="B327" t="s">
        <v>371</v>
      </c>
      <c r="C327" t="s">
        <v>375</v>
      </c>
      <c r="D327" t="s">
        <v>414</v>
      </c>
      <c r="F327">
        <v>327.10000000000002</v>
      </c>
      <c r="I327">
        <v>-159125.29999999999</v>
      </c>
    </row>
    <row r="328" spans="1:9" x14ac:dyDescent="0.2">
      <c r="A328" s="1">
        <v>244348</v>
      </c>
      <c r="B328" t="s">
        <v>371</v>
      </c>
      <c r="C328" t="s">
        <v>375</v>
      </c>
      <c r="D328" t="s">
        <v>401</v>
      </c>
      <c r="F328">
        <v>228.97</v>
      </c>
      <c r="I328">
        <v>-158896.32999999999</v>
      </c>
    </row>
    <row r="329" spans="1:9" x14ac:dyDescent="0.2">
      <c r="A329" s="1">
        <v>244348</v>
      </c>
      <c r="B329" t="s">
        <v>371</v>
      </c>
      <c r="C329" t="s">
        <v>375</v>
      </c>
      <c r="D329" t="s">
        <v>415</v>
      </c>
      <c r="F329">
        <v>196.26</v>
      </c>
      <c r="I329">
        <v>-158700.07</v>
      </c>
    </row>
    <row r="330" spans="1:9" x14ac:dyDescent="0.2">
      <c r="A330" s="1">
        <v>244348</v>
      </c>
      <c r="B330" t="s">
        <v>371</v>
      </c>
      <c r="C330" t="s">
        <v>375</v>
      </c>
      <c r="D330" t="s">
        <v>416</v>
      </c>
      <c r="F330">
        <v>65.42</v>
      </c>
      <c r="I330">
        <v>-158634.65</v>
      </c>
    </row>
    <row r="331" spans="1:9" x14ac:dyDescent="0.2">
      <c r="A331" s="1">
        <v>244348</v>
      </c>
      <c r="B331" t="s">
        <v>371</v>
      </c>
      <c r="C331" t="s">
        <v>375</v>
      </c>
      <c r="D331" t="s">
        <v>417</v>
      </c>
      <c r="F331">
        <v>196.26</v>
      </c>
      <c r="I331">
        <v>-158438.39000000001</v>
      </c>
    </row>
    <row r="332" spans="1:9" x14ac:dyDescent="0.2">
      <c r="A332" s="1">
        <v>244348</v>
      </c>
      <c r="B332" t="s">
        <v>371</v>
      </c>
      <c r="C332" t="s">
        <v>375</v>
      </c>
      <c r="D332" t="s">
        <v>418</v>
      </c>
      <c r="F332">
        <v>196.26</v>
      </c>
      <c r="I332">
        <v>-158242.13</v>
      </c>
    </row>
    <row r="333" spans="1:9" x14ac:dyDescent="0.2">
      <c r="A333" s="1">
        <v>244348</v>
      </c>
      <c r="B333" t="s">
        <v>371</v>
      </c>
      <c r="C333" t="s">
        <v>375</v>
      </c>
      <c r="D333" t="s">
        <v>419</v>
      </c>
      <c r="F333">
        <v>196.26</v>
      </c>
      <c r="I333">
        <v>-158045.87</v>
      </c>
    </row>
    <row r="334" spans="1:9" x14ac:dyDescent="0.2">
      <c r="A334" s="1">
        <v>244348</v>
      </c>
      <c r="B334" t="s">
        <v>371</v>
      </c>
      <c r="C334" t="s">
        <v>375</v>
      </c>
      <c r="D334" t="s">
        <v>420</v>
      </c>
      <c r="F334">
        <v>196.26</v>
      </c>
      <c r="I334">
        <v>-157849.60999999999</v>
      </c>
    </row>
    <row r="335" spans="1:9" x14ac:dyDescent="0.2">
      <c r="A335" s="1">
        <v>244348</v>
      </c>
      <c r="B335" t="s">
        <v>371</v>
      </c>
      <c r="C335" t="s">
        <v>375</v>
      </c>
      <c r="D335" t="s">
        <v>421</v>
      </c>
      <c r="F335">
        <v>196.26</v>
      </c>
      <c r="I335">
        <v>-157653.35</v>
      </c>
    </row>
    <row r="336" spans="1:9" x14ac:dyDescent="0.2">
      <c r="A336" s="1">
        <v>244348</v>
      </c>
      <c r="B336" t="s">
        <v>371</v>
      </c>
      <c r="C336" t="s">
        <v>375</v>
      </c>
      <c r="D336" t="s">
        <v>422</v>
      </c>
      <c r="F336">
        <v>654.21</v>
      </c>
      <c r="I336">
        <v>-156999.14000000001</v>
      </c>
    </row>
    <row r="337" spans="1:9" x14ac:dyDescent="0.2">
      <c r="A337" s="1">
        <v>244348</v>
      </c>
      <c r="B337" t="s">
        <v>371</v>
      </c>
      <c r="C337" t="s">
        <v>375</v>
      </c>
      <c r="D337" t="s">
        <v>423</v>
      </c>
      <c r="F337">
        <v>2158.88</v>
      </c>
      <c r="I337">
        <v>-154840.26</v>
      </c>
    </row>
    <row r="338" spans="1:9" x14ac:dyDescent="0.2">
      <c r="A338" s="1">
        <v>244348</v>
      </c>
      <c r="B338" t="s">
        <v>371</v>
      </c>
      <c r="C338" t="s">
        <v>375</v>
      </c>
      <c r="D338" t="s">
        <v>424</v>
      </c>
      <c r="F338">
        <v>850.47</v>
      </c>
      <c r="I338">
        <v>-153989.79</v>
      </c>
    </row>
    <row r="339" spans="1:9" x14ac:dyDescent="0.2">
      <c r="A339" s="1">
        <v>244348</v>
      </c>
      <c r="B339" t="s">
        <v>371</v>
      </c>
      <c r="C339" t="s">
        <v>375</v>
      </c>
      <c r="D339" t="s">
        <v>425</v>
      </c>
      <c r="F339">
        <v>196.26</v>
      </c>
      <c r="I339">
        <v>-153793.53</v>
      </c>
    </row>
    <row r="340" spans="1:9" x14ac:dyDescent="0.2">
      <c r="A340" s="1">
        <v>244348</v>
      </c>
      <c r="B340" t="s">
        <v>371</v>
      </c>
      <c r="C340" t="s">
        <v>375</v>
      </c>
      <c r="D340" t="s">
        <v>426</v>
      </c>
      <c r="F340">
        <v>327.10000000000002</v>
      </c>
      <c r="I340">
        <v>-153466.43</v>
      </c>
    </row>
    <row r="341" spans="1:9" x14ac:dyDescent="0.2">
      <c r="A341" s="1">
        <v>244348</v>
      </c>
      <c r="B341" t="s">
        <v>371</v>
      </c>
      <c r="C341" t="s">
        <v>375</v>
      </c>
      <c r="D341" t="s">
        <v>427</v>
      </c>
      <c r="F341">
        <v>196.26</v>
      </c>
      <c r="I341">
        <v>-153270.17000000001</v>
      </c>
    </row>
    <row r="342" spans="1:9" x14ac:dyDescent="0.2">
      <c r="A342" s="1">
        <v>244348</v>
      </c>
      <c r="B342" t="s">
        <v>371</v>
      </c>
      <c r="C342" t="s">
        <v>375</v>
      </c>
      <c r="D342" t="s">
        <v>428</v>
      </c>
      <c r="F342">
        <v>65.42</v>
      </c>
      <c r="I342">
        <v>-153204.75</v>
      </c>
    </row>
    <row r="343" spans="1:9" x14ac:dyDescent="0.2">
      <c r="A343" s="1">
        <v>244348</v>
      </c>
      <c r="B343" t="s">
        <v>371</v>
      </c>
      <c r="C343" t="s">
        <v>375</v>
      </c>
      <c r="D343" t="s">
        <v>429</v>
      </c>
      <c r="F343">
        <v>196.26</v>
      </c>
      <c r="I343">
        <v>-153008.49</v>
      </c>
    </row>
    <row r="344" spans="1:9" x14ac:dyDescent="0.2">
      <c r="A344" s="1">
        <v>244348</v>
      </c>
      <c r="B344" t="s">
        <v>371</v>
      </c>
      <c r="C344" t="s">
        <v>375</v>
      </c>
      <c r="D344" t="s">
        <v>430</v>
      </c>
      <c r="F344">
        <v>654.21</v>
      </c>
      <c r="I344">
        <v>-152354.28</v>
      </c>
    </row>
    <row r="345" spans="1:9" x14ac:dyDescent="0.2">
      <c r="A345" s="1">
        <v>244348</v>
      </c>
      <c r="B345" t="s">
        <v>371</v>
      </c>
      <c r="C345" t="s">
        <v>375</v>
      </c>
      <c r="D345" t="s">
        <v>431</v>
      </c>
      <c r="F345">
        <v>65.42</v>
      </c>
      <c r="I345">
        <v>-152288.85999999999</v>
      </c>
    </row>
    <row r="346" spans="1:9" x14ac:dyDescent="0.2">
      <c r="A346" s="1">
        <v>244348</v>
      </c>
      <c r="B346" t="s">
        <v>371</v>
      </c>
      <c r="C346" t="s">
        <v>375</v>
      </c>
      <c r="D346" t="s">
        <v>432</v>
      </c>
      <c r="F346">
        <v>196.26</v>
      </c>
      <c r="I346">
        <v>-152092.6</v>
      </c>
    </row>
    <row r="347" spans="1:9" x14ac:dyDescent="0.2">
      <c r="A347" s="1">
        <v>244348</v>
      </c>
      <c r="B347" t="s">
        <v>371</v>
      </c>
      <c r="C347" t="s">
        <v>375</v>
      </c>
      <c r="D347" t="s">
        <v>433</v>
      </c>
      <c r="F347">
        <v>65.42</v>
      </c>
      <c r="I347">
        <v>-152027.18</v>
      </c>
    </row>
    <row r="348" spans="1:9" x14ac:dyDescent="0.2">
      <c r="A348" s="1">
        <v>244348</v>
      </c>
      <c r="B348" t="s">
        <v>371</v>
      </c>
      <c r="C348" t="s">
        <v>375</v>
      </c>
      <c r="D348" t="s">
        <v>434</v>
      </c>
      <c r="F348">
        <v>196.26</v>
      </c>
      <c r="I348">
        <v>-151830.92000000001</v>
      </c>
    </row>
    <row r="349" spans="1:9" x14ac:dyDescent="0.2">
      <c r="A349" s="1">
        <v>244348</v>
      </c>
      <c r="B349" t="s">
        <v>371</v>
      </c>
      <c r="C349" t="s">
        <v>375</v>
      </c>
      <c r="D349" t="s">
        <v>435</v>
      </c>
      <c r="F349">
        <v>327.10000000000002</v>
      </c>
      <c r="I349">
        <v>-151503.82</v>
      </c>
    </row>
    <row r="350" spans="1:9" x14ac:dyDescent="0.2">
      <c r="A350" s="1">
        <v>244348</v>
      </c>
      <c r="B350" t="s">
        <v>371</v>
      </c>
      <c r="C350" t="s">
        <v>375</v>
      </c>
      <c r="D350" t="s">
        <v>436</v>
      </c>
      <c r="F350">
        <v>196.26</v>
      </c>
      <c r="I350">
        <v>-151307.56</v>
      </c>
    </row>
    <row r="351" spans="1:9" x14ac:dyDescent="0.2">
      <c r="A351" s="1">
        <v>244348</v>
      </c>
      <c r="B351" t="s">
        <v>371</v>
      </c>
      <c r="C351" t="s">
        <v>375</v>
      </c>
      <c r="D351" t="s">
        <v>437</v>
      </c>
      <c r="F351">
        <v>196.26</v>
      </c>
      <c r="I351">
        <v>-151111.29999999999</v>
      </c>
    </row>
    <row r="352" spans="1:9" x14ac:dyDescent="0.2">
      <c r="A352" s="1">
        <v>244348</v>
      </c>
      <c r="B352" t="s">
        <v>371</v>
      </c>
      <c r="C352" t="s">
        <v>375</v>
      </c>
      <c r="D352" t="s">
        <v>438</v>
      </c>
      <c r="F352">
        <v>327.10000000000002</v>
      </c>
      <c r="I352">
        <v>-150784.20000000001</v>
      </c>
    </row>
    <row r="353" spans="1:9" x14ac:dyDescent="0.2">
      <c r="A353" s="1">
        <v>244348</v>
      </c>
      <c r="B353" t="s">
        <v>371</v>
      </c>
      <c r="C353" t="s">
        <v>375</v>
      </c>
      <c r="D353" t="s">
        <v>439</v>
      </c>
      <c r="F353">
        <v>196.26</v>
      </c>
      <c r="I353">
        <v>-150587.94</v>
      </c>
    </row>
    <row r="354" spans="1:9" x14ac:dyDescent="0.2">
      <c r="A354" s="1">
        <v>244348</v>
      </c>
      <c r="B354" t="s">
        <v>371</v>
      </c>
      <c r="C354" t="s">
        <v>375</v>
      </c>
      <c r="D354" t="s">
        <v>440</v>
      </c>
      <c r="F354">
        <v>65.42</v>
      </c>
      <c r="I354">
        <v>-150522.51999999999</v>
      </c>
    </row>
    <row r="355" spans="1:9" x14ac:dyDescent="0.2">
      <c r="A355" s="1">
        <v>244348</v>
      </c>
      <c r="B355" t="s">
        <v>371</v>
      </c>
      <c r="C355" t="s">
        <v>375</v>
      </c>
      <c r="D355" t="s">
        <v>441</v>
      </c>
      <c r="F355">
        <v>196.26</v>
      </c>
      <c r="I355">
        <v>-150326.26</v>
      </c>
    </row>
    <row r="356" spans="1:9" x14ac:dyDescent="0.2">
      <c r="A356" s="1">
        <v>244348</v>
      </c>
      <c r="B356" t="s">
        <v>371</v>
      </c>
      <c r="C356" t="s">
        <v>375</v>
      </c>
      <c r="D356" t="s">
        <v>442</v>
      </c>
      <c r="F356">
        <v>65.42</v>
      </c>
      <c r="I356">
        <v>-150260.84</v>
      </c>
    </row>
    <row r="357" spans="1:9" x14ac:dyDescent="0.2">
      <c r="A357" s="1">
        <v>244348</v>
      </c>
      <c r="B357" t="s">
        <v>371</v>
      </c>
      <c r="C357" t="s">
        <v>375</v>
      </c>
      <c r="D357" t="s">
        <v>443</v>
      </c>
      <c r="F357">
        <v>65.42</v>
      </c>
      <c r="I357">
        <v>-150195.42000000001</v>
      </c>
    </row>
    <row r="358" spans="1:9" x14ac:dyDescent="0.2">
      <c r="A358" s="1">
        <v>244348</v>
      </c>
      <c r="B358" t="s">
        <v>371</v>
      </c>
      <c r="C358" t="s">
        <v>375</v>
      </c>
      <c r="D358" t="s">
        <v>444</v>
      </c>
      <c r="F358">
        <v>130.84</v>
      </c>
      <c r="I358">
        <v>-150064.57999999999</v>
      </c>
    </row>
    <row r="359" spans="1:9" x14ac:dyDescent="0.2">
      <c r="A359" s="1">
        <v>244348</v>
      </c>
      <c r="B359" t="s">
        <v>371</v>
      </c>
      <c r="C359" t="s">
        <v>375</v>
      </c>
      <c r="D359" t="s">
        <v>445</v>
      </c>
      <c r="F359">
        <v>196.26</v>
      </c>
      <c r="I359">
        <v>-149868.32</v>
      </c>
    </row>
    <row r="360" spans="1:9" x14ac:dyDescent="0.2">
      <c r="A360" s="1">
        <v>244348</v>
      </c>
      <c r="B360" t="s">
        <v>371</v>
      </c>
      <c r="C360" t="s">
        <v>375</v>
      </c>
      <c r="D360" t="s">
        <v>446</v>
      </c>
      <c r="F360">
        <v>130.84</v>
      </c>
      <c r="I360">
        <v>-149737.48000000001</v>
      </c>
    </row>
    <row r="361" spans="1:9" x14ac:dyDescent="0.2">
      <c r="A361" s="1">
        <v>244348</v>
      </c>
      <c r="B361" t="s">
        <v>371</v>
      </c>
      <c r="C361" t="s">
        <v>375</v>
      </c>
      <c r="D361" t="s">
        <v>447</v>
      </c>
      <c r="F361">
        <v>65.42</v>
      </c>
      <c r="I361">
        <v>-149672.06</v>
      </c>
    </row>
    <row r="362" spans="1:9" x14ac:dyDescent="0.2">
      <c r="A362" s="1">
        <v>244348</v>
      </c>
      <c r="B362" t="s">
        <v>371</v>
      </c>
      <c r="C362" t="s">
        <v>375</v>
      </c>
      <c r="D362" t="s">
        <v>448</v>
      </c>
      <c r="F362">
        <v>196.26</v>
      </c>
      <c r="I362">
        <v>-149475.79999999999</v>
      </c>
    </row>
    <row r="363" spans="1:9" x14ac:dyDescent="0.2">
      <c r="A363" s="1">
        <v>244348</v>
      </c>
      <c r="B363" t="s">
        <v>371</v>
      </c>
      <c r="C363" t="s">
        <v>375</v>
      </c>
      <c r="D363" t="s">
        <v>449</v>
      </c>
      <c r="F363">
        <v>196.26</v>
      </c>
      <c r="I363">
        <v>-149279.54</v>
      </c>
    </row>
    <row r="364" spans="1:9" x14ac:dyDescent="0.2">
      <c r="A364" s="1">
        <v>244348</v>
      </c>
      <c r="B364" t="s">
        <v>371</v>
      </c>
      <c r="C364" t="s">
        <v>375</v>
      </c>
      <c r="D364" t="s">
        <v>450</v>
      </c>
      <c r="F364">
        <v>654.21</v>
      </c>
      <c r="I364">
        <v>-148625.32999999999</v>
      </c>
    </row>
    <row r="365" spans="1:9" x14ac:dyDescent="0.2">
      <c r="A365" s="1">
        <v>244348</v>
      </c>
      <c r="B365" t="s">
        <v>371</v>
      </c>
      <c r="C365" t="s">
        <v>375</v>
      </c>
      <c r="D365" t="s">
        <v>451</v>
      </c>
      <c r="F365">
        <v>196.26</v>
      </c>
      <c r="I365">
        <v>-148429.07</v>
      </c>
    </row>
    <row r="366" spans="1:9" x14ac:dyDescent="0.2">
      <c r="A366" s="1">
        <v>244348</v>
      </c>
      <c r="B366" t="s">
        <v>371</v>
      </c>
      <c r="C366" t="s">
        <v>375</v>
      </c>
      <c r="D366" t="s">
        <v>452</v>
      </c>
      <c r="F366">
        <v>196.26</v>
      </c>
      <c r="I366">
        <v>-148232.81</v>
      </c>
    </row>
    <row r="367" spans="1:9" x14ac:dyDescent="0.2">
      <c r="A367" s="1">
        <v>244348</v>
      </c>
      <c r="B367" t="s">
        <v>371</v>
      </c>
      <c r="C367" t="s">
        <v>375</v>
      </c>
      <c r="D367" t="s">
        <v>453</v>
      </c>
      <c r="F367">
        <v>130.84</v>
      </c>
      <c r="I367">
        <v>-148101.97</v>
      </c>
    </row>
    <row r="368" spans="1:9" x14ac:dyDescent="0.2">
      <c r="A368" s="1">
        <v>244348</v>
      </c>
      <c r="B368" t="s">
        <v>371</v>
      </c>
      <c r="C368" t="s">
        <v>375</v>
      </c>
      <c r="D368" t="s">
        <v>454</v>
      </c>
      <c r="F368">
        <v>327.10000000000002</v>
      </c>
      <c r="I368">
        <v>-147774.87</v>
      </c>
    </row>
    <row r="369" spans="1:9" x14ac:dyDescent="0.2">
      <c r="A369" s="1">
        <v>244348</v>
      </c>
      <c r="B369" t="s">
        <v>371</v>
      </c>
      <c r="C369" t="s">
        <v>375</v>
      </c>
      <c r="D369" t="s">
        <v>455</v>
      </c>
      <c r="F369">
        <v>130.84</v>
      </c>
      <c r="I369">
        <v>-147644.03</v>
      </c>
    </row>
    <row r="370" spans="1:9" x14ac:dyDescent="0.2">
      <c r="A370" s="1">
        <v>244348</v>
      </c>
      <c r="B370" t="s">
        <v>371</v>
      </c>
      <c r="C370" t="s">
        <v>375</v>
      </c>
      <c r="D370" t="s">
        <v>456</v>
      </c>
      <c r="F370">
        <v>130.84</v>
      </c>
      <c r="I370">
        <v>-147513.19</v>
      </c>
    </row>
    <row r="371" spans="1:9" x14ac:dyDescent="0.2">
      <c r="A371" s="1">
        <v>244348</v>
      </c>
      <c r="B371" t="s">
        <v>371</v>
      </c>
      <c r="C371" t="s">
        <v>375</v>
      </c>
      <c r="D371" t="s">
        <v>457</v>
      </c>
      <c r="F371">
        <v>130.84</v>
      </c>
      <c r="I371">
        <v>-147382.35</v>
      </c>
    </row>
    <row r="372" spans="1:9" x14ac:dyDescent="0.2">
      <c r="A372" s="1">
        <v>244348</v>
      </c>
      <c r="B372" t="s">
        <v>371</v>
      </c>
      <c r="C372" t="s">
        <v>375</v>
      </c>
      <c r="D372" t="s">
        <v>458</v>
      </c>
      <c r="F372">
        <v>196.26</v>
      </c>
      <c r="I372">
        <v>-147186.09</v>
      </c>
    </row>
    <row r="373" spans="1:9" x14ac:dyDescent="0.2">
      <c r="A373" s="1">
        <v>244348</v>
      </c>
      <c r="B373" t="s">
        <v>371</v>
      </c>
      <c r="C373" t="s">
        <v>375</v>
      </c>
      <c r="D373" t="s">
        <v>459</v>
      </c>
      <c r="F373">
        <v>130.84</v>
      </c>
      <c r="I373">
        <v>-147055.25</v>
      </c>
    </row>
    <row r="374" spans="1:9" x14ac:dyDescent="0.2">
      <c r="A374" s="1">
        <v>244348</v>
      </c>
      <c r="B374" t="s">
        <v>371</v>
      </c>
      <c r="C374" t="s">
        <v>375</v>
      </c>
      <c r="D374" t="s">
        <v>460</v>
      </c>
      <c r="F374">
        <v>196.26</v>
      </c>
      <c r="I374">
        <v>-146858.99</v>
      </c>
    </row>
    <row r="375" spans="1:9" x14ac:dyDescent="0.2">
      <c r="A375" s="1">
        <v>244348</v>
      </c>
      <c r="B375" t="s">
        <v>371</v>
      </c>
      <c r="C375" t="s">
        <v>375</v>
      </c>
      <c r="D375" t="s">
        <v>461</v>
      </c>
      <c r="F375">
        <v>327.10000000000002</v>
      </c>
      <c r="I375">
        <v>-146531.89000000001</v>
      </c>
    </row>
    <row r="376" spans="1:9" x14ac:dyDescent="0.2">
      <c r="A376" s="1">
        <v>244348</v>
      </c>
      <c r="B376" t="s">
        <v>371</v>
      </c>
      <c r="C376" t="s">
        <v>375</v>
      </c>
      <c r="D376" t="s">
        <v>462</v>
      </c>
      <c r="F376">
        <v>196.26</v>
      </c>
      <c r="I376">
        <v>-146335.63</v>
      </c>
    </row>
    <row r="377" spans="1:9" x14ac:dyDescent="0.2">
      <c r="A377" s="1">
        <v>244348</v>
      </c>
      <c r="B377" t="s">
        <v>371</v>
      </c>
      <c r="C377" t="s">
        <v>375</v>
      </c>
      <c r="D377" t="s">
        <v>463</v>
      </c>
      <c r="F377">
        <v>196.26</v>
      </c>
      <c r="I377">
        <v>-146139.37</v>
      </c>
    </row>
    <row r="378" spans="1:9" x14ac:dyDescent="0.2">
      <c r="A378" s="1">
        <v>244348</v>
      </c>
      <c r="B378" t="s">
        <v>371</v>
      </c>
      <c r="C378" t="s">
        <v>375</v>
      </c>
      <c r="D378" t="s">
        <v>464</v>
      </c>
      <c r="F378">
        <v>196.26</v>
      </c>
      <c r="I378">
        <v>-145943.10999999999</v>
      </c>
    </row>
    <row r="379" spans="1:9" x14ac:dyDescent="0.2">
      <c r="A379" s="1">
        <v>244348</v>
      </c>
      <c r="B379" t="s">
        <v>371</v>
      </c>
      <c r="C379" t="s">
        <v>375</v>
      </c>
      <c r="D379" t="s">
        <v>465</v>
      </c>
      <c r="F379">
        <v>130.84</v>
      </c>
      <c r="I379">
        <v>-145812.26999999999</v>
      </c>
    </row>
    <row r="380" spans="1:9" x14ac:dyDescent="0.2">
      <c r="A380" s="1">
        <v>244348</v>
      </c>
      <c r="B380" t="s">
        <v>371</v>
      </c>
      <c r="C380" t="s">
        <v>375</v>
      </c>
      <c r="D380" t="s">
        <v>466</v>
      </c>
      <c r="F380">
        <v>65.42</v>
      </c>
      <c r="I380">
        <v>-145746.85</v>
      </c>
    </row>
    <row r="381" spans="1:9" x14ac:dyDescent="0.2">
      <c r="A381" s="1">
        <v>244348</v>
      </c>
      <c r="B381" t="s">
        <v>371</v>
      </c>
      <c r="C381" t="s">
        <v>375</v>
      </c>
      <c r="D381" t="s">
        <v>467</v>
      </c>
      <c r="F381">
        <v>65.42</v>
      </c>
      <c r="I381">
        <v>-145681.43</v>
      </c>
    </row>
    <row r="382" spans="1:9" x14ac:dyDescent="0.2">
      <c r="A382" s="1">
        <v>244348</v>
      </c>
      <c r="B382" t="s">
        <v>371</v>
      </c>
      <c r="C382" t="s">
        <v>375</v>
      </c>
      <c r="D382" t="s">
        <v>468</v>
      </c>
      <c r="F382">
        <v>65.42</v>
      </c>
      <c r="I382">
        <v>-145616.01</v>
      </c>
    </row>
    <row r="383" spans="1:9" x14ac:dyDescent="0.2">
      <c r="A383" s="1">
        <v>244348</v>
      </c>
      <c r="B383" t="s">
        <v>371</v>
      </c>
      <c r="C383" t="s">
        <v>375</v>
      </c>
      <c r="D383" t="s">
        <v>469</v>
      </c>
      <c r="F383">
        <v>196.26</v>
      </c>
      <c r="I383">
        <v>-145419.75</v>
      </c>
    </row>
    <row r="384" spans="1:9" x14ac:dyDescent="0.2">
      <c r="A384" s="1">
        <v>244348</v>
      </c>
      <c r="B384" t="s">
        <v>371</v>
      </c>
      <c r="C384" t="s">
        <v>375</v>
      </c>
      <c r="D384" t="s">
        <v>470</v>
      </c>
      <c r="F384">
        <v>1308.4100000000001</v>
      </c>
      <c r="I384">
        <v>-144111.34</v>
      </c>
    </row>
    <row r="385" spans="1:9" x14ac:dyDescent="0.2">
      <c r="A385" s="1">
        <v>244348</v>
      </c>
      <c r="B385" t="s">
        <v>371</v>
      </c>
      <c r="C385" t="s">
        <v>375</v>
      </c>
      <c r="D385" t="s">
        <v>471</v>
      </c>
      <c r="F385">
        <v>654.21</v>
      </c>
      <c r="I385">
        <v>-143457.13</v>
      </c>
    </row>
    <row r="386" spans="1:9" x14ac:dyDescent="0.2">
      <c r="A386" s="1">
        <v>244348</v>
      </c>
      <c r="B386" t="s">
        <v>371</v>
      </c>
      <c r="C386" t="s">
        <v>472</v>
      </c>
      <c r="D386" t="s">
        <v>473</v>
      </c>
      <c r="G386">
        <v>327.10000000000002</v>
      </c>
      <c r="I386">
        <v>-143784.23000000001</v>
      </c>
    </row>
    <row r="387" spans="1:9" x14ac:dyDescent="0.2">
      <c r="A387" s="1">
        <v>244348</v>
      </c>
      <c r="B387" t="s">
        <v>371</v>
      </c>
      <c r="C387" t="s">
        <v>472</v>
      </c>
      <c r="D387" t="s">
        <v>474</v>
      </c>
      <c r="G387">
        <v>196.26</v>
      </c>
      <c r="I387">
        <v>-143980.49</v>
      </c>
    </row>
    <row r="388" spans="1:9" x14ac:dyDescent="0.2">
      <c r="A388" s="1">
        <v>244348</v>
      </c>
      <c r="B388" t="s">
        <v>371</v>
      </c>
      <c r="C388" t="s">
        <v>472</v>
      </c>
      <c r="D388" t="s">
        <v>149</v>
      </c>
      <c r="G388">
        <v>654.21</v>
      </c>
      <c r="I388">
        <v>-144634.70000000001</v>
      </c>
    </row>
    <row r="389" spans="1:9" x14ac:dyDescent="0.2">
      <c r="A389" s="1">
        <v>244348</v>
      </c>
      <c r="B389" t="s">
        <v>371</v>
      </c>
      <c r="C389" t="s">
        <v>472</v>
      </c>
      <c r="D389" t="s">
        <v>149</v>
      </c>
      <c r="G389">
        <v>130.84</v>
      </c>
      <c r="I389">
        <v>-144765.54</v>
      </c>
    </row>
    <row r="390" spans="1:9" x14ac:dyDescent="0.2">
      <c r="A390" s="1">
        <v>244348</v>
      </c>
      <c r="B390" t="s">
        <v>371</v>
      </c>
      <c r="C390" t="s">
        <v>472</v>
      </c>
      <c r="D390" t="s">
        <v>377</v>
      </c>
      <c r="G390">
        <v>392.52</v>
      </c>
      <c r="I390">
        <v>-145158.06</v>
      </c>
    </row>
    <row r="391" spans="1:9" x14ac:dyDescent="0.2">
      <c r="A391" s="1">
        <v>244348</v>
      </c>
      <c r="B391" t="s">
        <v>371</v>
      </c>
      <c r="C391" t="s">
        <v>472</v>
      </c>
      <c r="D391" t="s">
        <v>475</v>
      </c>
      <c r="G391">
        <v>327.10000000000002</v>
      </c>
      <c r="I391">
        <v>-145485.16</v>
      </c>
    </row>
    <row r="392" spans="1:9" x14ac:dyDescent="0.2">
      <c r="A392" s="1">
        <v>244348</v>
      </c>
      <c r="B392" t="s">
        <v>371</v>
      </c>
      <c r="C392" t="s">
        <v>472</v>
      </c>
      <c r="D392" t="s">
        <v>476</v>
      </c>
      <c r="G392">
        <v>327.10000000000002</v>
      </c>
      <c r="I392">
        <v>-145812.26</v>
      </c>
    </row>
    <row r="393" spans="1:9" x14ac:dyDescent="0.2">
      <c r="A393" s="1">
        <v>244348</v>
      </c>
      <c r="B393" t="s">
        <v>371</v>
      </c>
      <c r="C393" t="s">
        <v>472</v>
      </c>
      <c r="D393" t="s">
        <v>387</v>
      </c>
      <c r="G393">
        <v>8825.23</v>
      </c>
      <c r="I393">
        <v>-154637.49</v>
      </c>
    </row>
    <row r="394" spans="1:9" x14ac:dyDescent="0.2">
      <c r="A394" s="1">
        <v>244348</v>
      </c>
      <c r="B394" t="s">
        <v>371</v>
      </c>
      <c r="C394" t="s">
        <v>472</v>
      </c>
      <c r="D394" t="s">
        <v>391</v>
      </c>
      <c r="G394">
        <v>196.26</v>
      </c>
      <c r="I394">
        <v>-154833.75</v>
      </c>
    </row>
    <row r="395" spans="1:9" x14ac:dyDescent="0.2">
      <c r="A395" s="1">
        <v>244348</v>
      </c>
      <c r="B395" t="s">
        <v>371</v>
      </c>
      <c r="C395" t="s">
        <v>472</v>
      </c>
      <c r="D395" t="s">
        <v>406</v>
      </c>
      <c r="G395">
        <v>647.66</v>
      </c>
      <c r="I395">
        <v>-155481.41</v>
      </c>
    </row>
    <row r="396" spans="1:9" x14ac:dyDescent="0.2">
      <c r="A396" s="1">
        <v>244348</v>
      </c>
      <c r="B396" t="s">
        <v>371</v>
      </c>
      <c r="C396" t="s">
        <v>472</v>
      </c>
      <c r="D396" t="s">
        <v>408</v>
      </c>
      <c r="G396">
        <v>196.26</v>
      </c>
      <c r="I396">
        <v>-155677.67000000001</v>
      </c>
    </row>
    <row r="397" spans="1:9" x14ac:dyDescent="0.2">
      <c r="A397" s="1">
        <v>244348</v>
      </c>
      <c r="B397" t="s">
        <v>371</v>
      </c>
      <c r="C397" t="s">
        <v>472</v>
      </c>
      <c r="D397" t="s">
        <v>401</v>
      </c>
      <c r="G397">
        <v>228.97</v>
      </c>
      <c r="I397">
        <v>-155906.64000000001</v>
      </c>
    </row>
    <row r="398" spans="1:9" x14ac:dyDescent="0.2">
      <c r="A398" s="1">
        <v>244348</v>
      </c>
      <c r="B398" t="s">
        <v>371</v>
      </c>
      <c r="C398" t="s">
        <v>472</v>
      </c>
      <c r="D398" t="s">
        <v>411</v>
      </c>
      <c r="G398">
        <v>654.21</v>
      </c>
      <c r="I398">
        <v>-156560.85</v>
      </c>
    </row>
    <row r="399" spans="1:9" x14ac:dyDescent="0.2">
      <c r="A399" s="1">
        <v>244348</v>
      </c>
      <c r="B399" t="s">
        <v>371</v>
      </c>
      <c r="C399" t="s">
        <v>472</v>
      </c>
      <c r="D399" t="s">
        <v>402</v>
      </c>
      <c r="G399">
        <v>327.10000000000002</v>
      </c>
      <c r="I399">
        <v>-156887.95000000001</v>
      </c>
    </row>
    <row r="400" spans="1:9" x14ac:dyDescent="0.2">
      <c r="A400" s="1">
        <v>244348</v>
      </c>
      <c r="B400" t="s">
        <v>371</v>
      </c>
      <c r="C400" t="s">
        <v>472</v>
      </c>
      <c r="D400" t="s">
        <v>402</v>
      </c>
      <c r="G400">
        <v>65.42</v>
      </c>
      <c r="I400">
        <v>-156953.37</v>
      </c>
    </row>
    <row r="401" spans="1:9" x14ac:dyDescent="0.2">
      <c r="A401" s="1">
        <v>244348</v>
      </c>
      <c r="B401" t="s">
        <v>371</v>
      </c>
      <c r="C401" t="s">
        <v>472</v>
      </c>
      <c r="D401" t="s">
        <v>392</v>
      </c>
      <c r="G401">
        <v>130.84</v>
      </c>
      <c r="I401">
        <v>-157084.21</v>
      </c>
    </row>
    <row r="402" spans="1:9" x14ac:dyDescent="0.2">
      <c r="A402" s="1">
        <v>244348</v>
      </c>
      <c r="B402" t="s">
        <v>371</v>
      </c>
      <c r="C402" t="s">
        <v>472</v>
      </c>
      <c r="D402" t="s">
        <v>470</v>
      </c>
      <c r="G402">
        <v>1308.4100000000001</v>
      </c>
      <c r="I402">
        <v>-158392.62</v>
      </c>
    </row>
    <row r="403" spans="1:9" x14ac:dyDescent="0.2">
      <c r="A403" s="1">
        <v>244348</v>
      </c>
      <c r="B403" t="s">
        <v>371</v>
      </c>
      <c r="C403" t="s">
        <v>472</v>
      </c>
      <c r="D403" t="s">
        <v>434</v>
      </c>
      <c r="G403">
        <v>196.26</v>
      </c>
      <c r="I403">
        <v>-158588.88</v>
      </c>
    </row>
    <row r="404" spans="1:9" x14ac:dyDescent="0.2">
      <c r="A404" s="1">
        <v>244348</v>
      </c>
      <c r="B404" t="s">
        <v>371</v>
      </c>
      <c r="C404" t="s">
        <v>472</v>
      </c>
      <c r="D404" t="s">
        <v>440</v>
      </c>
      <c r="G404">
        <v>65.42</v>
      </c>
      <c r="I404">
        <v>-158654.29999999999</v>
      </c>
    </row>
    <row r="405" spans="1:9" x14ac:dyDescent="0.2">
      <c r="A405" s="1">
        <v>244348</v>
      </c>
      <c r="B405" t="s">
        <v>371</v>
      </c>
      <c r="C405" t="s">
        <v>472</v>
      </c>
      <c r="D405" t="s">
        <v>376</v>
      </c>
      <c r="G405">
        <v>327.10000000000002</v>
      </c>
      <c r="I405">
        <v>-158981.4</v>
      </c>
    </row>
    <row r="406" spans="1:9" x14ac:dyDescent="0.2">
      <c r="A406" s="1">
        <v>244348</v>
      </c>
      <c r="B406" t="s">
        <v>371</v>
      </c>
      <c r="C406" t="s">
        <v>472</v>
      </c>
      <c r="D406" t="s">
        <v>437</v>
      </c>
      <c r="G406">
        <v>196.26</v>
      </c>
      <c r="I406">
        <v>-159177.66</v>
      </c>
    </row>
    <row r="407" spans="1:9" x14ac:dyDescent="0.2">
      <c r="A407" s="1">
        <v>244348</v>
      </c>
      <c r="B407" t="s">
        <v>371</v>
      </c>
      <c r="C407" t="s">
        <v>472</v>
      </c>
      <c r="D407" t="s">
        <v>436</v>
      </c>
      <c r="G407">
        <v>196.26</v>
      </c>
      <c r="I407">
        <v>-159373.92000000001</v>
      </c>
    </row>
    <row r="408" spans="1:9" x14ac:dyDescent="0.2">
      <c r="A408" s="1">
        <v>244348</v>
      </c>
      <c r="B408" t="s">
        <v>371</v>
      </c>
      <c r="C408" t="s">
        <v>472</v>
      </c>
      <c r="D408" t="s">
        <v>422</v>
      </c>
      <c r="G408">
        <v>654.21</v>
      </c>
      <c r="I408">
        <v>-160028.13</v>
      </c>
    </row>
    <row r="409" spans="1:9" x14ac:dyDescent="0.2">
      <c r="A409" s="1">
        <v>244348</v>
      </c>
      <c r="B409" t="s">
        <v>371</v>
      </c>
      <c r="C409" t="s">
        <v>472</v>
      </c>
      <c r="D409" t="s">
        <v>432</v>
      </c>
      <c r="G409">
        <v>196.26</v>
      </c>
      <c r="I409">
        <v>-160224.39000000001</v>
      </c>
    </row>
    <row r="410" spans="1:9" x14ac:dyDescent="0.2">
      <c r="A410" s="1">
        <v>244348</v>
      </c>
      <c r="B410" t="s">
        <v>371</v>
      </c>
      <c r="C410" t="s">
        <v>472</v>
      </c>
      <c r="D410" t="s">
        <v>477</v>
      </c>
      <c r="G410">
        <v>196.26</v>
      </c>
      <c r="I410">
        <v>-160420.65</v>
      </c>
    </row>
    <row r="411" spans="1:9" x14ac:dyDescent="0.2">
      <c r="A411" s="1">
        <v>244348</v>
      </c>
      <c r="B411" t="s">
        <v>371</v>
      </c>
      <c r="C411" t="s">
        <v>472</v>
      </c>
      <c r="D411" t="s">
        <v>478</v>
      </c>
      <c r="G411">
        <v>327.10000000000002</v>
      </c>
      <c r="I411">
        <v>-160747.75</v>
      </c>
    </row>
    <row r="412" spans="1:9" x14ac:dyDescent="0.2">
      <c r="A412" s="1">
        <v>244348</v>
      </c>
      <c r="B412" t="s">
        <v>371</v>
      </c>
      <c r="C412" t="s">
        <v>472</v>
      </c>
      <c r="D412" t="s">
        <v>479</v>
      </c>
      <c r="G412">
        <v>327.10000000000002</v>
      </c>
      <c r="I412">
        <v>-161074.85</v>
      </c>
    </row>
    <row r="413" spans="1:9" x14ac:dyDescent="0.2">
      <c r="A413" s="1">
        <v>244348</v>
      </c>
      <c r="B413" t="s">
        <v>371</v>
      </c>
      <c r="C413" t="s">
        <v>472</v>
      </c>
      <c r="D413" t="s">
        <v>395</v>
      </c>
      <c r="G413">
        <v>196.26</v>
      </c>
      <c r="I413">
        <v>-161271.10999999999</v>
      </c>
    </row>
    <row r="414" spans="1:9" x14ac:dyDescent="0.2">
      <c r="A414" s="1">
        <v>244348</v>
      </c>
      <c r="B414" t="s">
        <v>371</v>
      </c>
      <c r="C414" t="s">
        <v>472</v>
      </c>
      <c r="D414" t="s">
        <v>377</v>
      </c>
      <c r="G414">
        <v>654.21</v>
      </c>
      <c r="I414">
        <v>-161925.32</v>
      </c>
    </row>
    <row r="415" spans="1:9" x14ac:dyDescent="0.2">
      <c r="A415" s="1">
        <v>244348</v>
      </c>
      <c r="B415" t="s">
        <v>371</v>
      </c>
      <c r="C415" t="s">
        <v>472</v>
      </c>
      <c r="D415" t="s">
        <v>393</v>
      </c>
      <c r="G415">
        <v>196.26</v>
      </c>
      <c r="I415">
        <v>-162121.57999999999</v>
      </c>
    </row>
    <row r="416" spans="1:9" x14ac:dyDescent="0.2">
      <c r="A416" s="1">
        <v>244348</v>
      </c>
      <c r="B416" t="s">
        <v>371</v>
      </c>
      <c r="C416" t="s">
        <v>472</v>
      </c>
      <c r="D416" t="s">
        <v>386</v>
      </c>
      <c r="G416">
        <v>261.68</v>
      </c>
      <c r="I416">
        <v>-162383.26</v>
      </c>
    </row>
    <row r="417" spans="1:9" x14ac:dyDescent="0.2">
      <c r="A417" s="1">
        <v>244348</v>
      </c>
      <c r="B417" t="s">
        <v>371</v>
      </c>
      <c r="C417" t="s">
        <v>472</v>
      </c>
      <c r="D417" t="s">
        <v>384</v>
      </c>
      <c r="G417">
        <v>65.42</v>
      </c>
      <c r="I417">
        <v>-162448.68</v>
      </c>
    </row>
    <row r="418" spans="1:9" x14ac:dyDescent="0.2">
      <c r="A418" s="1">
        <v>244348</v>
      </c>
      <c r="B418" t="s">
        <v>371</v>
      </c>
      <c r="C418" t="s">
        <v>472</v>
      </c>
      <c r="D418" t="s">
        <v>410</v>
      </c>
      <c r="G418">
        <v>130.84</v>
      </c>
      <c r="I418">
        <v>-162579.51999999999</v>
      </c>
    </row>
    <row r="419" spans="1:9" x14ac:dyDescent="0.2">
      <c r="A419" s="1">
        <v>244348</v>
      </c>
      <c r="B419" t="s">
        <v>371</v>
      </c>
      <c r="C419" t="s">
        <v>472</v>
      </c>
      <c r="D419" t="s">
        <v>480</v>
      </c>
      <c r="G419">
        <v>196.26</v>
      </c>
      <c r="I419">
        <v>-162775.78</v>
      </c>
    </row>
    <row r="420" spans="1:9" x14ac:dyDescent="0.2">
      <c r="A420" s="1">
        <v>244348</v>
      </c>
      <c r="B420" t="s">
        <v>371</v>
      </c>
      <c r="C420" t="s">
        <v>472</v>
      </c>
      <c r="D420" t="s">
        <v>421</v>
      </c>
      <c r="G420">
        <v>196.26</v>
      </c>
      <c r="I420">
        <v>-162972.04</v>
      </c>
    </row>
    <row r="421" spans="1:9" x14ac:dyDescent="0.2">
      <c r="A421" s="1">
        <v>244348</v>
      </c>
      <c r="B421" t="s">
        <v>371</v>
      </c>
      <c r="C421" t="s">
        <v>472</v>
      </c>
      <c r="D421" t="s">
        <v>383</v>
      </c>
      <c r="G421">
        <v>196.26</v>
      </c>
      <c r="I421">
        <v>-163168.29999999999</v>
      </c>
    </row>
    <row r="422" spans="1:9" x14ac:dyDescent="0.2">
      <c r="A422" s="1">
        <v>244348</v>
      </c>
      <c r="B422" t="s">
        <v>371</v>
      </c>
      <c r="C422" t="s">
        <v>472</v>
      </c>
      <c r="D422" t="s">
        <v>418</v>
      </c>
      <c r="G422">
        <v>196.26</v>
      </c>
      <c r="I422">
        <v>-163364.56</v>
      </c>
    </row>
    <row r="423" spans="1:9" x14ac:dyDescent="0.2">
      <c r="A423" s="1">
        <v>244348</v>
      </c>
      <c r="B423" t="s">
        <v>371</v>
      </c>
      <c r="C423" t="s">
        <v>472</v>
      </c>
      <c r="D423" t="s">
        <v>416</v>
      </c>
      <c r="G423">
        <v>65.42</v>
      </c>
      <c r="I423">
        <v>-163429.98000000001</v>
      </c>
    </row>
    <row r="424" spans="1:9" x14ac:dyDescent="0.2">
      <c r="A424" s="1">
        <v>244348</v>
      </c>
      <c r="B424" t="s">
        <v>371</v>
      </c>
      <c r="C424" t="s">
        <v>472</v>
      </c>
      <c r="D424" t="s">
        <v>415</v>
      </c>
      <c r="G424">
        <v>196.26</v>
      </c>
      <c r="I424">
        <v>-163626.23999999999</v>
      </c>
    </row>
    <row r="425" spans="1:9" x14ac:dyDescent="0.2">
      <c r="A425" s="1">
        <v>244348</v>
      </c>
      <c r="B425" t="s">
        <v>371</v>
      </c>
      <c r="C425" t="s">
        <v>472</v>
      </c>
      <c r="D425" t="s">
        <v>401</v>
      </c>
      <c r="G425">
        <v>654.21</v>
      </c>
      <c r="I425">
        <v>-164280.45000000001</v>
      </c>
    </row>
    <row r="426" spans="1:9" x14ac:dyDescent="0.2">
      <c r="A426" s="1">
        <v>244348</v>
      </c>
      <c r="B426" t="s">
        <v>371</v>
      </c>
      <c r="C426" t="s">
        <v>472</v>
      </c>
      <c r="D426" t="s">
        <v>398</v>
      </c>
      <c r="G426">
        <v>327.10000000000002</v>
      </c>
      <c r="I426">
        <v>-164607.54999999999</v>
      </c>
    </row>
    <row r="427" spans="1:9" x14ac:dyDescent="0.2">
      <c r="A427" s="1">
        <v>244348</v>
      </c>
      <c r="B427" t="s">
        <v>371</v>
      </c>
      <c r="C427" t="s">
        <v>472</v>
      </c>
      <c r="D427" t="s">
        <v>394</v>
      </c>
      <c r="G427">
        <v>2158.88</v>
      </c>
      <c r="I427">
        <v>-166766.43</v>
      </c>
    </row>
    <row r="428" spans="1:9" x14ac:dyDescent="0.2">
      <c r="A428" s="1">
        <v>244348</v>
      </c>
      <c r="B428" t="s">
        <v>371</v>
      </c>
      <c r="C428" t="s">
        <v>472</v>
      </c>
      <c r="D428" t="s">
        <v>424</v>
      </c>
      <c r="G428">
        <v>850.47</v>
      </c>
      <c r="I428">
        <v>-167616.9</v>
      </c>
    </row>
    <row r="429" spans="1:9" x14ac:dyDescent="0.2">
      <c r="A429" s="1">
        <v>244348</v>
      </c>
      <c r="B429" t="s">
        <v>371</v>
      </c>
      <c r="C429" t="s">
        <v>472</v>
      </c>
      <c r="D429" t="s">
        <v>409</v>
      </c>
      <c r="G429">
        <v>327.10000000000002</v>
      </c>
      <c r="I429">
        <v>-167944</v>
      </c>
    </row>
    <row r="430" spans="1:9" x14ac:dyDescent="0.2">
      <c r="A430" s="1">
        <v>244348</v>
      </c>
      <c r="B430" t="s">
        <v>371</v>
      </c>
      <c r="C430" t="s">
        <v>472</v>
      </c>
      <c r="D430" t="s">
        <v>419</v>
      </c>
      <c r="G430">
        <v>196.26</v>
      </c>
      <c r="I430">
        <v>-168140.26</v>
      </c>
    </row>
    <row r="431" spans="1:9" x14ac:dyDescent="0.2">
      <c r="A431" s="1">
        <v>244348</v>
      </c>
      <c r="B431" t="s">
        <v>371</v>
      </c>
      <c r="C431" t="s">
        <v>472</v>
      </c>
      <c r="D431" t="s">
        <v>420</v>
      </c>
      <c r="G431">
        <v>196.26</v>
      </c>
      <c r="I431">
        <v>-168336.52</v>
      </c>
    </row>
    <row r="432" spans="1:9" x14ac:dyDescent="0.2">
      <c r="A432" s="1">
        <v>244348</v>
      </c>
      <c r="B432" t="s">
        <v>371</v>
      </c>
      <c r="C432" t="s">
        <v>472</v>
      </c>
      <c r="D432" t="s">
        <v>438</v>
      </c>
      <c r="G432">
        <v>327.10000000000002</v>
      </c>
      <c r="I432">
        <v>-168663.62</v>
      </c>
    </row>
    <row r="433" spans="1:9" x14ac:dyDescent="0.2">
      <c r="A433" s="1">
        <v>244348</v>
      </c>
      <c r="B433" t="s">
        <v>371</v>
      </c>
      <c r="C433" t="s">
        <v>472</v>
      </c>
      <c r="D433" t="s">
        <v>434</v>
      </c>
      <c r="G433">
        <v>196.26</v>
      </c>
      <c r="I433">
        <v>-168859.88</v>
      </c>
    </row>
    <row r="434" spans="1:9" x14ac:dyDescent="0.2">
      <c r="A434" s="1">
        <v>244348</v>
      </c>
      <c r="B434" t="s">
        <v>371</v>
      </c>
      <c r="C434" t="s">
        <v>472</v>
      </c>
      <c r="D434" t="s">
        <v>382</v>
      </c>
      <c r="G434">
        <v>196.26</v>
      </c>
      <c r="I434">
        <v>-169056.14</v>
      </c>
    </row>
    <row r="435" spans="1:9" x14ac:dyDescent="0.2">
      <c r="A435" s="1">
        <v>244348</v>
      </c>
      <c r="B435" t="s">
        <v>371</v>
      </c>
      <c r="C435" t="s">
        <v>472</v>
      </c>
      <c r="D435" t="s">
        <v>417</v>
      </c>
      <c r="G435">
        <v>196.26</v>
      </c>
      <c r="I435">
        <v>-169252.4</v>
      </c>
    </row>
    <row r="436" spans="1:9" x14ac:dyDescent="0.2">
      <c r="A436" s="1">
        <v>244348</v>
      </c>
      <c r="B436" t="s">
        <v>371</v>
      </c>
      <c r="C436" t="s">
        <v>472</v>
      </c>
      <c r="D436" t="s">
        <v>468</v>
      </c>
      <c r="G436">
        <v>65.42</v>
      </c>
      <c r="I436">
        <v>-169317.82</v>
      </c>
    </row>
    <row r="437" spans="1:9" x14ac:dyDescent="0.2">
      <c r="A437" s="1">
        <v>244348</v>
      </c>
      <c r="B437" t="s">
        <v>371</v>
      </c>
      <c r="C437" t="s">
        <v>472</v>
      </c>
      <c r="D437" t="s">
        <v>441</v>
      </c>
      <c r="G437">
        <v>196.26</v>
      </c>
      <c r="I437">
        <v>-169514.08</v>
      </c>
    </row>
    <row r="438" spans="1:9" x14ac:dyDescent="0.2">
      <c r="A438" s="1">
        <v>244348</v>
      </c>
      <c r="B438" t="s">
        <v>371</v>
      </c>
      <c r="C438" t="s">
        <v>472</v>
      </c>
      <c r="D438" t="s">
        <v>379</v>
      </c>
      <c r="G438">
        <v>327.10000000000002</v>
      </c>
      <c r="I438">
        <v>-169841.18</v>
      </c>
    </row>
    <row r="439" spans="1:9" x14ac:dyDescent="0.2">
      <c r="A439" s="1">
        <v>244348</v>
      </c>
      <c r="B439" t="s">
        <v>371</v>
      </c>
      <c r="C439" t="s">
        <v>472</v>
      </c>
      <c r="D439" t="s">
        <v>469</v>
      </c>
      <c r="G439">
        <v>196.26</v>
      </c>
      <c r="I439">
        <v>-170037.44</v>
      </c>
    </row>
    <row r="440" spans="1:9" x14ac:dyDescent="0.2">
      <c r="A440" s="1">
        <v>244348</v>
      </c>
      <c r="B440" t="s">
        <v>371</v>
      </c>
      <c r="C440" t="s">
        <v>472</v>
      </c>
      <c r="D440" t="s">
        <v>452</v>
      </c>
      <c r="G440">
        <v>196.26</v>
      </c>
      <c r="I440">
        <v>-170233.7</v>
      </c>
    </row>
    <row r="441" spans="1:9" x14ac:dyDescent="0.2">
      <c r="A441" s="1">
        <v>244348</v>
      </c>
      <c r="B441" t="s">
        <v>371</v>
      </c>
      <c r="C441" t="s">
        <v>472</v>
      </c>
      <c r="D441" t="s">
        <v>461</v>
      </c>
      <c r="G441">
        <v>327.10000000000002</v>
      </c>
      <c r="I441">
        <v>-170560.8</v>
      </c>
    </row>
    <row r="442" spans="1:9" x14ac:dyDescent="0.2">
      <c r="A442" s="1">
        <v>244348</v>
      </c>
      <c r="B442" t="s">
        <v>371</v>
      </c>
      <c r="C442" t="s">
        <v>472</v>
      </c>
      <c r="D442" t="s">
        <v>380</v>
      </c>
      <c r="G442">
        <v>196.26</v>
      </c>
      <c r="I442">
        <v>-170757.06</v>
      </c>
    </row>
    <row r="443" spans="1:9" x14ac:dyDescent="0.2">
      <c r="A443" s="1">
        <v>244348</v>
      </c>
      <c r="B443" t="s">
        <v>371</v>
      </c>
      <c r="C443" t="s">
        <v>472</v>
      </c>
      <c r="D443" t="s">
        <v>389</v>
      </c>
      <c r="G443">
        <v>65.42</v>
      </c>
      <c r="I443">
        <v>-170822.48</v>
      </c>
    </row>
    <row r="444" spans="1:9" x14ac:dyDescent="0.2">
      <c r="A444" s="1">
        <v>244348</v>
      </c>
      <c r="B444" t="s">
        <v>371</v>
      </c>
      <c r="C444" t="s">
        <v>472</v>
      </c>
      <c r="D444" t="s">
        <v>439</v>
      </c>
      <c r="G444">
        <v>196.26</v>
      </c>
      <c r="I444">
        <v>-171018.74</v>
      </c>
    </row>
    <row r="445" spans="1:9" x14ac:dyDescent="0.2">
      <c r="A445" s="1">
        <v>244349</v>
      </c>
      <c r="B445" t="s">
        <v>18</v>
      </c>
      <c r="C445" t="s">
        <v>481</v>
      </c>
      <c r="D445" t="s">
        <v>482</v>
      </c>
      <c r="F445">
        <v>5000</v>
      </c>
      <c r="I445">
        <v>-166018.74</v>
      </c>
    </row>
    <row r="446" spans="1:9" x14ac:dyDescent="0.2">
      <c r="A446" s="1">
        <v>244349</v>
      </c>
      <c r="B446" t="s">
        <v>18</v>
      </c>
      <c r="C446" t="s">
        <v>483</v>
      </c>
      <c r="D446" t="s">
        <v>484</v>
      </c>
      <c r="F446">
        <v>3000</v>
      </c>
      <c r="I446">
        <v>-163018.74</v>
      </c>
    </row>
    <row r="447" spans="1:9" x14ac:dyDescent="0.2">
      <c r="A447" t="s">
        <v>485</v>
      </c>
      <c r="F447">
        <v>999642.03</v>
      </c>
      <c r="G447">
        <v>1162660.77</v>
      </c>
    </row>
    <row r="450" spans="1:7" x14ac:dyDescent="0.2">
      <c r="A450" t="s">
        <v>486</v>
      </c>
      <c r="B450">
        <v>440</v>
      </c>
      <c r="C450" t="s">
        <v>487</v>
      </c>
      <c r="D450">
        <v>1</v>
      </c>
      <c r="E450" t="s">
        <v>488</v>
      </c>
      <c r="F450">
        <v>999642.03</v>
      </c>
      <c r="G450">
        <v>1162660.77</v>
      </c>
    </row>
    <row r="452" spans="1:7" x14ac:dyDescent="0.2">
      <c r="A452" t="s">
        <v>489</v>
      </c>
    </row>
    <row r="453" spans="1:7" x14ac:dyDescent="0.2">
      <c r="B453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B3DC-38E3-440D-A7BB-D3F406ACF97F}">
  <sheetPr>
    <tabColor rgb="FF92D050"/>
  </sheetPr>
  <dimension ref="A3:D171"/>
  <sheetViews>
    <sheetView topLeftCell="A43" workbookViewId="0">
      <selection activeCell="A13" sqref="A13"/>
    </sheetView>
  </sheetViews>
  <sheetFormatPr defaultRowHeight="14.25" x14ac:dyDescent="0.2"/>
  <cols>
    <col min="1" max="1" width="49.875" bestFit="1" customWidth="1"/>
    <col min="2" max="2" width="14.875" bestFit="1" customWidth="1"/>
    <col min="3" max="4" width="16" customWidth="1"/>
  </cols>
  <sheetData>
    <row r="3" spans="1:4" x14ac:dyDescent="0.2">
      <c r="A3" s="10" t="s">
        <v>497</v>
      </c>
      <c r="B3" t="s">
        <v>499</v>
      </c>
      <c r="C3" s="12" t="s">
        <v>500</v>
      </c>
      <c r="D3" s="12" t="s">
        <v>501</v>
      </c>
    </row>
    <row r="4" spans="1:4" x14ac:dyDescent="0.2">
      <c r="A4" s="11" t="s">
        <v>297</v>
      </c>
      <c r="B4" s="2">
        <v>0</v>
      </c>
      <c r="C4" s="13">
        <f>IF(B4&gt;0,B4,0)</f>
        <v>0</v>
      </c>
      <c r="D4" s="13">
        <f>IF(B4&lt;0,B4,0)</f>
        <v>0</v>
      </c>
    </row>
    <row r="5" spans="1:4" x14ac:dyDescent="0.2">
      <c r="A5" s="11" t="s">
        <v>20</v>
      </c>
      <c r="B5" s="2">
        <v>0</v>
      </c>
      <c r="C5" s="13">
        <f t="shared" ref="C5:C68" si="0">IF(B5&gt;0,B5,0)</f>
        <v>0</v>
      </c>
      <c r="D5" s="13">
        <f t="shared" ref="D5:D68" si="1">IF(B5&lt;0,B5,0)</f>
        <v>0</v>
      </c>
    </row>
    <row r="6" spans="1:4" x14ac:dyDescent="0.2">
      <c r="A6" s="11" t="s">
        <v>22</v>
      </c>
      <c r="B6" s="2">
        <v>0</v>
      </c>
      <c r="C6" s="13">
        <f t="shared" si="0"/>
        <v>0</v>
      </c>
      <c r="D6" s="13">
        <f t="shared" si="1"/>
        <v>0</v>
      </c>
    </row>
    <row r="7" spans="1:4" x14ac:dyDescent="0.2">
      <c r="A7" s="11" t="s">
        <v>26</v>
      </c>
      <c r="B7" s="2">
        <v>0</v>
      </c>
      <c r="C7" s="13">
        <f t="shared" si="0"/>
        <v>0</v>
      </c>
      <c r="D7" s="13">
        <f t="shared" si="1"/>
        <v>0</v>
      </c>
    </row>
    <row r="8" spans="1:4" x14ac:dyDescent="0.2">
      <c r="A8" s="11" t="s">
        <v>28</v>
      </c>
      <c r="B8" s="2">
        <v>0</v>
      </c>
      <c r="C8" s="13">
        <f t="shared" si="0"/>
        <v>0</v>
      </c>
      <c r="D8" s="13">
        <f t="shared" si="1"/>
        <v>0</v>
      </c>
    </row>
    <row r="9" spans="1:4" x14ac:dyDescent="0.2">
      <c r="A9" s="11" t="s">
        <v>30</v>
      </c>
      <c r="B9" s="2">
        <v>0</v>
      </c>
      <c r="C9" s="13">
        <f t="shared" si="0"/>
        <v>0</v>
      </c>
      <c r="D9" s="13">
        <f t="shared" si="1"/>
        <v>0</v>
      </c>
    </row>
    <row r="10" spans="1:4" x14ac:dyDescent="0.2">
      <c r="A10" s="11" t="s">
        <v>31</v>
      </c>
      <c r="B10" s="2">
        <v>0</v>
      </c>
      <c r="C10" s="13">
        <f t="shared" si="0"/>
        <v>0</v>
      </c>
      <c r="D10" s="13">
        <f t="shared" si="1"/>
        <v>0</v>
      </c>
    </row>
    <row r="11" spans="1:4" x14ac:dyDescent="0.2">
      <c r="A11" s="11" t="s">
        <v>32</v>
      </c>
      <c r="B11" s="2">
        <v>-1869.16</v>
      </c>
      <c r="C11" s="13">
        <f t="shared" si="0"/>
        <v>0</v>
      </c>
      <c r="D11" s="13">
        <f t="shared" si="1"/>
        <v>-1869.16</v>
      </c>
    </row>
    <row r="12" spans="1:4" x14ac:dyDescent="0.2">
      <c r="A12" s="11" t="s">
        <v>33</v>
      </c>
      <c r="B12" s="2">
        <v>0</v>
      </c>
      <c r="C12" s="13">
        <f t="shared" si="0"/>
        <v>0</v>
      </c>
      <c r="D12" s="13">
        <f t="shared" si="1"/>
        <v>0</v>
      </c>
    </row>
    <row r="13" spans="1:4" x14ac:dyDescent="0.2">
      <c r="A13" s="11" t="s">
        <v>37</v>
      </c>
      <c r="B13" s="2">
        <v>2.2737367544323206E-13</v>
      </c>
      <c r="C13" s="13">
        <f t="shared" si="0"/>
        <v>2.2737367544323206E-13</v>
      </c>
      <c r="D13" s="13">
        <f t="shared" si="1"/>
        <v>0</v>
      </c>
    </row>
    <row r="14" spans="1:4" x14ac:dyDescent="0.2">
      <c r="A14" s="11" t="s">
        <v>39</v>
      </c>
      <c r="B14" s="2">
        <v>0</v>
      </c>
      <c r="C14" s="13">
        <f t="shared" si="0"/>
        <v>0</v>
      </c>
      <c r="D14" s="13">
        <f t="shared" si="1"/>
        <v>0</v>
      </c>
    </row>
    <row r="15" spans="1:4" x14ac:dyDescent="0.2">
      <c r="A15" s="11" t="s">
        <v>40</v>
      </c>
      <c r="B15" s="2">
        <v>0</v>
      </c>
      <c r="C15" s="13">
        <f t="shared" si="0"/>
        <v>0</v>
      </c>
      <c r="D15" s="13">
        <f t="shared" si="1"/>
        <v>0</v>
      </c>
    </row>
    <row r="16" spans="1:4" x14ac:dyDescent="0.2">
      <c r="A16" s="11" t="s">
        <v>46</v>
      </c>
      <c r="B16" s="2">
        <v>0</v>
      </c>
      <c r="C16" s="13">
        <f t="shared" si="0"/>
        <v>0</v>
      </c>
      <c r="D16" s="13">
        <f t="shared" si="1"/>
        <v>0</v>
      </c>
    </row>
    <row r="17" spans="1:4" x14ac:dyDescent="0.2">
      <c r="A17" s="11" t="s">
        <v>47</v>
      </c>
      <c r="B17" s="2">
        <v>0</v>
      </c>
      <c r="C17" s="13">
        <f t="shared" si="0"/>
        <v>0</v>
      </c>
      <c r="D17" s="13">
        <f t="shared" si="1"/>
        <v>0</v>
      </c>
    </row>
    <row r="18" spans="1:4" x14ac:dyDescent="0.2">
      <c r="A18" s="11" t="s">
        <v>48</v>
      </c>
      <c r="B18" s="2">
        <v>-2803.74</v>
      </c>
      <c r="C18" s="13">
        <f t="shared" si="0"/>
        <v>0</v>
      </c>
      <c r="D18" s="13">
        <f t="shared" si="1"/>
        <v>-2803.74</v>
      </c>
    </row>
    <row r="19" spans="1:4" x14ac:dyDescent="0.2">
      <c r="A19" s="11" t="s">
        <v>50</v>
      </c>
      <c r="B19" s="2">
        <v>0</v>
      </c>
      <c r="C19" s="13">
        <f t="shared" si="0"/>
        <v>0</v>
      </c>
      <c r="D19" s="13">
        <f t="shared" si="1"/>
        <v>0</v>
      </c>
    </row>
    <row r="20" spans="1:4" x14ac:dyDescent="0.2">
      <c r="A20" s="11" t="s">
        <v>53</v>
      </c>
      <c r="B20" s="2">
        <v>0</v>
      </c>
      <c r="C20" s="13">
        <f t="shared" si="0"/>
        <v>0</v>
      </c>
      <c r="D20" s="13">
        <f t="shared" si="1"/>
        <v>0</v>
      </c>
    </row>
    <row r="21" spans="1:4" x14ac:dyDescent="0.2">
      <c r="A21" s="11" t="s">
        <v>54</v>
      </c>
      <c r="B21" s="2">
        <v>0</v>
      </c>
      <c r="C21" s="13">
        <f t="shared" si="0"/>
        <v>0</v>
      </c>
      <c r="D21" s="13">
        <f t="shared" si="1"/>
        <v>0</v>
      </c>
    </row>
    <row r="22" spans="1:4" x14ac:dyDescent="0.2">
      <c r="A22" s="11" t="s">
        <v>59</v>
      </c>
      <c r="B22" s="2">
        <v>0</v>
      </c>
      <c r="C22" s="13">
        <f t="shared" si="0"/>
        <v>0</v>
      </c>
      <c r="D22" s="13">
        <f t="shared" si="1"/>
        <v>0</v>
      </c>
    </row>
    <row r="23" spans="1:4" x14ac:dyDescent="0.2">
      <c r="A23" s="11" t="s">
        <v>67</v>
      </c>
      <c r="B23" s="2">
        <v>0</v>
      </c>
      <c r="C23" s="13">
        <f t="shared" si="0"/>
        <v>0</v>
      </c>
      <c r="D23" s="13">
        <f t="shared" si="1"/>
        <v>0</v>
      </c>
    </row>
    <row r="24" spans="1:4" x14ac:dyDescent="0.2">
      <c r="A24" s="11" t="s">
        <v>69</v>
      </c>
      <c r="B24" s="2">
        <v>0</v>
      </c>
      <c r="C24" s="13">
        <f t="shared" si="0"/>
        <v>0</v>
      </c>
      <c r="D24" s="13">
        <f t="shared" si="1"/>
        <v>0</v>
      </c>
    </row>
    <row r="25" spans="1:4" x14ac:dyDescent="0.2">
      <c r="A25" s="11" t="s">
        <v>70</v>
      </c>
      <c r="B25" s="2">
        <v>0</v>
      </c>
      <c r="C25" s="13">
        <f t="shared" si="0"/>
        <v>0</v>
      </c>
      <c r="D25" s="13">
        <f t="shared" si="1"/>
        <v>0</v>
      </c>
    </row>
    <row r="26" spans="1:4" x14ac:dyDescent="0.2">
      <c r="A26" s="11" t="s">
        <v>71</v>
      </c>
      <c r="B26" s="2">
        <v>0</v>
      </c>
      <c r="C26" s="13">
        <f t="shared" si="0"/>
        <v>0</v>
      </c>
      <c r="D26" s="13">
        <f t="shared" si="1"/>
        <v>0</v>
      </c>
    </row>
    <row r="27" spans="1:4" x14ac:dyDescent="0.2">
      <c r="A27" s="11" t="s">
        <v>72</v>
      </c>
      <c r="B27" s="2">
        <v>0</v>
      </c>
      <c r="C27" s="13">
        <f t="shared" si="0"/>
        <v>0</v>
      </c>
      <c r="D27" s="13">
        <f t="shared" si="1"/>
        <v>0</v>
      </c>
    </row>
    <row r="28" spans="1:4" x14ac:dyDescent="0.2">
      <c r="A28" s="11" t="s">
        <v>74</v>
      </c>
      <c r="B28" s="2">
        <v>0</v>
      </c>
      <c r="C28" s="13">
        <f t="shared" si="0"/>
        <v>0</v>
      </c>
      <c r="D28" s="13">
        <f t="shared" si="1"/>
        <v>0</v>
      </c>
    </row>
    <row r="29" spans="1:4" x14ac:dyDescent="0.2">
      <c r="A29" s="11" t="s">
        <v>78</v>
      </c>
      <c r="B29" s="2">
        <v>0</v>
      </c>
      <c r="C29" s="13">
        <f t="shared" si="0"/>
        <v>0</v>
      </c>
      <c r="D29" s="13">
        <f t="shared" si="1"/>
        <v>0</v>
      </c>
    </row>
    <row r="30" spans="1:4" x14ac:dyDescent="0.2">
      <c r="A30" s="11" t="s">
        <v>86</v>
      </c>
      <c r="B30" s="2">
        <v>0</v>
      </c>
      <c r="C30" s="13">
        <f t="shared" si="0"/>
        <v>0</v>
      </c>
      <c r="D30" s="13">
        <f t="shared" si="1"/>
        <v>0</v>
      </c>
    </row>
    <row r="31" spans="1:4" x14ac:dyDescent="0.2">
      <c r="A31" s="11" t="s">
        <v>87</v>
      </c>
      <c r="B31" s="2">
        <v>0</v>
      </c>
      <c r="C31" s="13">
        <f t="shared" si="0"/>
        <v>0</v>
      </c>
      <c r="D31" s="13">
        <f t="shared" si="1"/>
        <v>0</v>
      </c>
    </row>
    <row r="32" spans="1:4" x14ac:dyDescent="0.2">
      <c r="A32" s="11" t="s">
        <v>88</v>
      </c>
      <c r="B32" s="2">
        <v>0</v>
      </c>
      <c r="C32" s="13">
        <f t="shared" si="0"/>
        <v>0</v>
      </c>
      <c r="D32" s="13">
        <f t="shared" si="1"/>
        <v>0</v>
      </c>
    </row>
    <row r="33" spans="1:4" x14ac:dyDescent="0.2">
      <c r="A33" s="11" t="s">
        <v>90</v>
      </c>
      <c r="B33" s="2">
        <v>0</v>
      </c>
      <c r="C33" s="13">
        <f t="shared" si="0"/>
        <v>0</v>
      </c>
      <c r="D33" s="13">
        <f t="shared" si="1"/>
        <v>0</v>
      </c>
    </row>
    <row r="34" spans="1:4" x14ac:dyDescent="0.2">
      <c r="A34" s="11" t="s">
        <v>92</v>
      </c>
      <c r="B34" s="2">
        <v>0</v>
      </c>
      <c r="C34" s="13">
        <f t="shared" si="0"/>
        <v>0</v>
      </c>
      <c r="D34" s="13">
        <f t="shared" si="1"/>
        <v>0</v>
      </c>
    </row>
    <row r="35" spans="1:4" x14ac:dyDescent="0.2">
      <c r="A35" s="11" t="s">
        <v>93</v>
      </c>
      <c r="B35" s="2">
        <v>0</v>
      </c>
      <c r="C35" s="13">
        <f t="shared" si="0"/>
        <v>0</v>
      </c>
      <c r="D35" s="13">
        <f t="shared" si="1"/>
        <v>0</v>
      </c>
    </row>
    <row r="36" spans="1:4" x14ac:dyDescent="0.2">
      <c r="A36" s="11" t="s">
        <v>80</v>
      </c>
      <c r="B36" s="2">
        <v>0</v>
      </c>
      <c r="C36" s="13">
        <f t="shared" si="0"/>
        <v>0</v>
      </c>
      <c r="D36" s="13">
        <f t="shared" si="1"/>
        <v>0</v>
      </c>
    </row>
    <row r="37" spans="1:4" x14ac:dyDescent="0.2">
      <c r="A37" s="11" t="s">
        <v>81</v>
      </c>
      <c r="B37" s="2">
        <v>0</v>
      </c>
      <c r="C37" s="13">
        <f t="shared" si="0"/>
        <v>0</v>
      </c>
      <c r="D37" s="13">
        <f t="shared" si="1"/>
        <v>0</v>
      </c>
    </row>
    <row r="38" spans="1:4" x14ac:dyDescent="0.2">
      <c r="A38" s="11" t="s">
        <v>82</v>
      </c>
      <c r="B38" s="2">
        <v>0</v>
      </c>
      <c r="C38" s="13">
        <f t="shared" si="0"/>
        <v>0</v>
      </c>
      <c r="D38" s="13">
        <f t="shared" si="1"/>
        <v>0</v>
      </c>
    </row>
    <row r="39" spans="1:4" x14ac:dyDescent="0.2">
      <c r="A39" s="11" t="s">
        <v>83</v>
      </c>
      <c r="B39" s="2">
        <v>0</v>
      </c>
      <c r="C39" s="13">
        <f t="shared" si="0"/>
        <v>0</v>
      </c>
      <c r="D39" s="13">
        <f t="shared" si="1"/>
        <v>0</v>
      </c>
    </row>
    <row r="40" spans="1:4" x14ac:dyDescent="0.2">
      <c r="A40" s="11" t="s">
        <v>84</v>
      </c>
      <c r="B40" s="2">
        <v>0</v>
      </c>
      <c r="C40" s="13">
        <f t="shared" si="0"/>
        <v>0</v>
      </c>
      <c r="D40" s="13">
        <f t="shared" si="1"/>
        <v>0</v>
      </c>
    </row>
    <row r="41" spans="1:4" x14ac:dyDescent="0.2">
      <c r="A41" s="11" t="s">
        <v>154</v>
      </c>
      <c r="B41" s="2">
        <v>-1869.16</v>
      </c>
      <c r="C41" s="13">
        <f t="shared" si="0"/>
        <v>0</v>
      </c>
      <c r="D41" s="13">
        <f t="shared" si="1"/>
        <v>-1869.16</v>
      </c>
    </row>
    <row r="42" spans="1:4" x14ac:dyDescent="0.2">
      <c r="A42" s="11" t="s">
        <v>157</v>
      </c>
      <c r="B42" s="2">
        <v>-1869.16</v>
      </c>
      <c r="C42" s="13">
        <f t="shared" si="0"/>
        <v>0</v>
      </c>
      <c r="D42" s="13">
        <f t="shared" si="1"/>
        <v>-1869.16</v>
      </c>
    </row>
    <row r="43" spans="1:4" x14ac:dyDescent="0.2">
      <c r="A43" s="11" t="s">
        <v>387</v>
      </c>
      <c r="B43" s="2">
        <v>0</v>
      </c>
      <c r="C43" s="13">
        <f t="shared" si="0"/>
        <v>0</v>
      </c>
      <c r="D43" s="13">
        <f t="shared" si="1"/>
        <v>0</v>
      </c>
    </row>
    <row r="44" spans="1:4" x14ac:dyDescent="0.2">
      <c r="A44" s="11" t="s">
        <v>391</v>
      </c>
      <c r="B44" s="2">
        <v>0</v>
      </c>
      <c r="C44" s="13">
        <f t="shared" si="0"/>
        <v>0</v>
      </c>
      <c r="D44" s="13">
        <f t="shared" si="1"/>
        <v>0</v>
      </c>
    </row>
    <row r="45" spans="1:4" x14ac:dyDescent="0.2">
      <c r="A45" s="11" t="s">
        <v>386</v>
      </c>
      <c r="B45" s="2">
        <v>0</v>
      </c>
      <c r="C45" s="13">
        <f t="shared" si="0"/>
        <v>0</v>
      </c>
      <c r="D45" s="13">
        <f t="shared" si="1"/>
        <v>0</v>
      </c>
    </row>
    <row r="46" spans="1:4" x14ac:dyDescent="0.2">
      <c r="A46" s="11" t="s">
        <v>377</v>
      </c>
      <c r="B46" s="2">
        <v>0</v>
      </c>
      <c r="C46" s="13">
        <f t="shared" si="0"/>
        <v>0</v>
      </c>
      <c r="D46" s="13">
        <f t="shared" si="1"/>
        <v>0</v>
      </c>
    </row>
    <row r="47" spans="1:4" x14ac:dyDescent="0.2">
      <c r="A47" s="11" t="s">
        <v>151</v>
      </c>
      <c r="B47" s="2">
        <v>0</v>
      </c>
      <c r="C47" s="13">
        <f t="shared" si="0"/>
        <v>0</v>
      </c>
      <c r="D47" s="13">
        <f t="shared" si="1"/>
        <v>0</v>
      </c>
    </row>
    <row r="48" spans="1:4" x14ac:dyDescent="0.2">
      <c r="A48" s="11" t="s">
        <v>162</v>
      </c>
      <c r="B48" s="2">
        <v>-2803.74</v>
      </c>
      <c r="C48" s="13">
        <f t="shared" si="0"/>
        <v>0</v>
      </c>
      <c r="D48" s="13">
        <f t="shared" si="1"/>
        <v>-2803.74</v>
      </c>
    </row>
    <row r="49" spans="1:4" x14ac:dyDescent="0.2">
      <c r="A49" s="11" t="s">
        <v>95</v>
      </c>
      <c r="B49" s="2">
        <v>0</v>
      </c>
      <c r="C49" s="13">
        <f t="shared" si="0"/>
        <v>0</v>
      </c>
      <c r="D49" s="13">
        <f t="shared" si="1"/>
        <v>0</v>
      </c>
    </row>
    <row r="50" spans="1:4" x14ac:dyDescent="0.2">
      <c r="A50" s="11" t="s">
        <v>97</v>
      </c>
      <c r="B50" s="2">
        <v>-2803.74</v>
      </c>
      <c r="C50" s="13">
        <f t="shared" si="0"/>
        <v>0</v>
      </c>
      <c r="D50" s="13">
        <f t="shared" si="1"/>
        <v>-2803.74</v>
      </c>
    </row>
    <row r="51" spans="1:4" x14ac:dyDescent="0.2">
      <c r="A51" s="11" t="s">
        <v>99</v>
      </c>
      <c r="B51" s="2">
        <v>0</v>
      </c>
      <c r="C51" s="13">
        <f t="shared" si="0"/>
        <v>0</v>
      </c>
      <c r="D51" s="13">
        <f t="shared" si="1"/>
        <v>0</v>
      </c>
    </row>
    <row r="52" spans="1:4" x14ac:dyDescent="0.2">
      <c r="A52" s="11" t="s">
        <v>101</v>
      </c>
      <c r="B52" s="2">
        <v>0</v>
      </c>
      <c r="C52" s="13">
        <f t="shared" si="0"/>
        <v>0</v>
      </c>
      <c r="D52" s="13">
        <f t="shared" si="1"/>
        <v>0</v>
      </c>
    </row>
    <row r="53" spans="1:4" x14ac:dyDescent="0.2">
      <c r="A53" s="11" t="s">
        <v>102</v>
      </c>
      <c r="B53" s="2">
        <v>0</v>
      </c>
      <c r="C53" s="13">
        <f t="shared" si="0"/>
        <v>0</v>
      </c>
      <c r="D53" s="13">
        <f t="shared" si="1"/>
        <v>0</v>
      </c>
    </row>
    <row r="54" spans="1:4" x14ac:dyDescent="0.2">
      <c r="A54" s="11" t="s">
        <v>103</v>
      </c>
      <c r="B54" s="2">
        <v>0</v>
      </c>
      <c r="C54" s="13">
        <f t="shared" si="0"/>
        <v>0</v>
      </c>
      <c r="D54" s="13">
        <f t="shared" si="1"/>
        <v>0</v>
      </c>
    </row>
    <row r="55" spans="1:4" x14ac:dyDescent="0.2">
      <c r="A55" s="11" t="s">
        <v>104</v>
      </c>
      <c r="B55" s="2">
        <v>2.2737367544323206E-13</v>
      </c>
      <c r="C55" s="13">
        <f t="shared" si="0"/>
        <v>2.2737367544323206E-13</v>
      </c>
      <c r="D55" s="13">
        <f t="shared" si="1"/>
        <v>0</v>
      </c>
    </row>
    <row r="56" spans="1:4" x14ac:dyDescent="0.2">
      <c r="A56" s="11" t="s">
        <v>105</v>
      </c>
      <c r="B56" s="2">
        <v>0</v>
      </c>
      <c r="C56" s="13">
        <f t="shared" si="0"/>
        <v>0</v>
      </c>
      <c r="D56" s="13">
        <f t="shared" si="1"/>
        <v>0</v>
      </c>
    </row>
    <row r="57" spans="1:4" x14ac:dyDescent="0.2">
      <c r="A57" s="11" t="s">
        <v>107</v>
      </c>
      <c r="B57" s="2">
        <v>0</v>
      </c>
      <c r="C57" s="13">
        <f t="shared" si="0"/>
        <v>0</v>
      </c>
      <c r="D57" s="13">
        <f t="shared" si="1"/>
        <v>0</v>
      </c>
    </row>
    <row r="58" spans="1:4" x14ac:dyDescent="0.2">
      <c r="A58" s="11" t="s">
        <v>110</v>
      </c>
      <c r="B58" s="2">
        <v>0</v>
      </c>
      <c r="C58" s="13">
        <f t="shared" si="0"/>
        <v>0</v>
      </c>
      <c r="D58" s="13">
        <f t="shared" si="1"/>
        <v>0</v>
      </c>
    </row>
    <row r="59" spans="1:4" x14ac:dyDescent="0.2">
      <c r="A59" s="11" t="s">
        <v>111</v>
      </c>
      <c r="B59" s="2">
        <v>0</v>
      </c>
      <c r="C59" s="13">
        <f t="shared" si="0"/>
        <v>0</v>
      </c>
      <c r="D59" s="13">
        <f t="shared" si="1"/>
        <v>0</v>
      </c>
    </row>
    <row r="60" spans="1:4" x14ac:dyDescent="0.2">
      <c r="A60" s="11" t="s">
        <v>112</v>
      </c>
      <c r="B60" s="2">
        <v>0</v>
      </c>
      <c r="C60" s="13">
        <f t="shared" si="0"/>
        <v>0</v>
      </c>
      <c r="D60" s="13">
        <f t="shared" si="1"/>
        <v>0</v>
      </c>
    </row>
    <row r="61" spans="1:4" x14ac:dyDescent="0.2">
      <c r="A61" s="11" t="s">
        <v>113</v>
      </c>
      <c r="B61" s="2">
        <v>0</v>
      </c>
      <c r="C61" s="13">
        <f t="shared" si="0"/>
        <v>0</v>
      </c>
      <c r="D61" s="13">
        <f t="shared" si="1"/>
        <v>0</v>
      </c>
    </row>
    <row r="62" spans="1:4" x14ac:dyDescent="0.2">
      <c r="A62" s="11" t="s">
        <v>114</v>
      </c>
      <c r="B62" s="2">
        <v>-9.0949470177292824E-13</v>
      </c>
      <c r="C62" s="13">
        <f t="shared" si="0"/>
        <v>0</v>
      </c>
      <c r="D62" s="13">
        <f t="shared" si="1"/>
        <v>-9.0949470177292824E-13</v>
      </c>
    </row>
    <row r="63" spans="1:4" x14ac:dyDescent="0.2">
      <c r="A63" s="11" t="s">
        <v>116</v>
      </c>
      <c r="B63" s="2">
        <v>0</v>
      </c>
      <c r="C63" s="13">
        <f t="shared" si="0"/>
        <v>0</v>
      </c>
      <c r="D63" s="13">
        <f t="shared" si="1"/>
        <v>0</v>
      </c>
    </row>
    <row r="64" spans="1:4" x14ac:dyDescent="0.2">
      <c r="A64" s="11" t="s">
        <v>117</v>
      </c>
      <c r="B64" s="2">
        <v>0</v>
      </c>
      <c r="C64" s="13">
        <f t="shared" si="0"/>
        <v>0</v>
      </c>
      <c r="D64" s="13">
        <f t="shared" si="1"/>
        <v>0</v>
      </c>
    </row>
    <row r="65" spans="1:4" x14ac:dyDescent="0.2">
      <c r="A65" s="11" t="s">
        <v>118</v>
      </c>
      <c r="B65" s="2">
        <v>-2803.74</v>
      </c>
      <c r="C65" s="13">
        <f t="shared" si="0"/>
        <v>0</v>
      </c>
      <c r="D65" s="13">
        <f t="shared" si="1"/>
        <v>-2803.74</v>
      </c>
    </row>
    <row r="66" spans="1:4" x14ac:dyDescent="0.2">
      <c r="A66" s="11" t="s">
        <v>120</v>
      </c>
      <c r="B66" s="2">
        <v>2.2737367544323206E-13</v>
      </c>
      <c r="C66" s="13">
        <f t="shared" si="0"/>
        <v>2.2737367544323206E-13</v>
      </c>
      <c r="D66" s="13">
        <f t="shared" si="1"/>
        <v>0</v>
      </c>
    </row>
    <row r="67" spans="1:4" x14ac:dyDescent="0.2">
      <c r="A67" s="11" t="s">
        <v>121</v>
      </c>
      <c r="B67" s="2">
        <v>0</v>
      </c>
      <c r="C67" s="13">
        <f t="shared" si="0"/>
        <v>0</v>
      </c>
      <c r="D67" s="13">
        <f t="shared" si="1"/>
        <v>0</v>
      </c>
    </row>
    <row r="68" spans="1:4" x14ac:dyDescent="0.2">
      <c r="A68" s="11" t="s">
        <v>123</v>
      </c>
      <c r="B68" s="2">
        <v>4.5474735088646412E-13</v>
      </c>
      <c r="C68" s="13">
        <f t="shared" si="0"/>
        <v>4.5474735088646412E-13</v>
      </c>
      <c r="D68" s="13">
        <f t="shared" si="1"/>
        <v>0</v>
      </c>
    </row>
    <row r="69" spans="1:4" x14ac:dyDescent="0.2">
      <c r="A69" s="11" t="s">
        <v>125</v>
      </c>
      <c r="B69" s="2">
        <v>0</v>
      </c>
      <c r="C69" s="13">
        <f t="shared" ref="C69:C132" si="2">IF(B69&gt;0,B69,0)</f>
        <v>0</v>
      </c>
      <c r="D69" s="13">
        <f t="shared" ref="D69:D132" si="3">IF(B69&lt;0,B69,0)</f>
        <v>0</v>
      </c>
    </row>
    <row r="70" spans="1:4" x14ac:dyDescent="0.2">
      <c r="A70" s="11" t="s">
        <v>127</v>
      </c>
      <c r="B70" s="2">
        <v>0</v>
      </c>
      <c r="C70" s="13">
        <f t="shared" si="2"/>
        <v>0</v>
      </c>
      <c r="D70" s="13">
        <f t="shared" si="3"/>
        <v>0</v>
      </c>
    </row>
    <row r="71" spans="1:4" x14ac:dyDescent="0.2">
      <c r="A71" s="11" t="s">
        <v>129</v>
      </c>
      <c r="B71" s="2">
        <v>0</v>
      </c>
      <c r="C71" s="13">
        <f t="shared" si="2"/>
        <v>0</v>
      </c>
      <c r="D71" s="13">
        <f t="shared" si="3"/>
        <v>0</v>
      </c>
    </row>
    <row r="72" spans="1:4" x14ac:dyDescent="0.2">
      <c r="A72" s="11" t="s">
        <v>130</v>
      </c>
      <c r="B72" s="2">
        <v>0</v>
      </c>
      <c r="C72" s="13">
        <f t="shared" si="2"/>
        <v>0</v>
      </c>
      <c r="D72" s="13">
        <f t="shared" si="3"/>
        <v>0</v>
      </c>
    </row>
    <row r="73" spans="1:4" x14ac:dyDescent="0.2">
      <c r="A73" s="11" t="s">
        <v>131</v>
      </c>
      <c r="B73" s="2">
        <v>2.2737367544323206E-13</v>
      </c>
      <c r="C73" s="13">
        <f t="shared" si="2"/>
        <v>2.2737367544323206E-13</v>
      </c>
      <c r="D73" s="13">
        <f t="shared" si="3"/>
        <v>0</v>
      </c>
    </row>
    <row r="74" spans="1:4" x14ac:dyDescent="0.2">
      <c r="A74" s="11" t="s">
        <v>132</v>
      </c>
      <c r="B74" s="2">
        <v>-4672.8999999999996</v>
      </c>
      <c r="C74" s="13">
        <f t="shared" si="2"/>
        <v>0</v>
      </c>
      <c r="D74" s="13">
        <f t="shared" si="3"/>
        <v>-4672.8999999999996</v>
      </c>
    </row>
    <row r="75" spans="1:4" x14ac:dyDescent="0.2">
      <c r="A75" s="11" t="s">
        <v>136</v>
      </c>
      <c r="B75" s="2">
        <v>2.2737367544323206E-13</v>
      </c>
      <c r="C75" s="13">
        <f t="shared" si="2"/>
        <v>2.2737367544323206E-13</v>
      </c>
      <c r="D75" s="13">
        <f t="shared" si="3"/>
        <v>0</v>
      </c>
    </row>
    <row r="76" spans="1:4" x14ac:dyDescent="0.2">
      <c r="A76" s="11" t="s">
        <v>141</v>
      </c>
      <c r="B76" s="2">
        <v>0</v>
      </c>
      <c r="C76" s="13">
        <f t="shared" si="2"/>
        <v>0</v>
      </c>
      <c r="D76" s="13">
        <f t="shared" si="3"/>
        <v>0</v>
      </c>
    </row>
    <row r="77" spans="1:4" x14ac:dyDescent="0.2">
      <c r="A77" s="11" t="s">
        <v>143</v>
      </c>
      <c r="B77" s="2">
        <v>0</v>
      </c>
      <c r="C77" s="13">
        <f t="shared" si="2"/>
        <v>0</v>
      </c>
      <c r="D77" s="13">
        <f t="shared" si="3"/>
        <v>0</v>
      </c>
    </row>
    <row r="78" spans="1:4" x14ac:dyDescent="0.2">
      <c r="A78" s="11" t="s">
        <v>144</v>
      </c>
      <c r="B78" s="2">
        <v>-2803.74</v>
      </c>
      <c r="C78" s="13">
        <f t="shared" si="2"/>
        <v>0</v>
      </c>
      <c r="D78" s="13">
        <f t="shared" si="3"/>
        <v>-2803.74</v>
      </c>
    </row>
    <row r="79" spans="1:4" x14ac:dyDescent="0.2">
      <c r="A79" s="11" t="s">
        <v>145</v>
      </c>
      <c r="B79" s="2">
        <v>0</v>
      </c>
      <c r="C79" s="13">
        <f t="shared" si="2"/>
        <v>0</v>
      </c>
      <c r="D79" s="13">
        <f t="shared" si="3"/>
        <v>0</v>
      </c>
    </row>
    <row r="80" spans="1:4" x14ac:dyDescent="0.2">
      <c r="A80" s="11" t="s">
        <v>242</v>
      </c>
      <c r="B80" s="2">
        <v>0</v>
      </c>
      <c r="C80" s="13">
        <f t="shared" si="2"/>
        <v>0</v>
      </c>
      <c r="D80" s="13">
        <f t="shared" si="3"/>
        <v>0</v>
      </c>
    </row>
    <row r="81" spans="1:4" x14ac:dyDescent="0.2">
      <c r="A81" s="11" t="s">
        <v>482</v>
      </c>
      <c r="B81" s="2">
        <v>0</v>
      </c>
      <c r="C81" s="13">
        <f t="shared" si="2"/>
        <v>0</v>
      </c>
      <c r="D81" s="13">
        <f t="shared" si="3"/>
        <v>0</v>
      </c>
    </row>
    <row r="82" spans="1:4" x14ac:dyDescent="0.2">
      <c r="A82" s="11" t="s">
        <v>484</v>
      </c>
      <c r="B82" s="2">
        <v>0</v>
      </c>
      <c r="C82" s="13">
        <f t="shared" si="2"/>
        <v>0</v>
      </c>
      <c r="D82" s="13">
        <f t="shared" si="3"/>
        <v>0</v>
      </c>
    </row>
    <row r="83" spans="1:4" x14ac:dyDescent="0.2">
      <c r="A83" s="11" t="s">
        <v>159</v>
      </c>
      <c r="B83" s="2">
        <v>0</v>
      </c>
      <c r="C83" s="13">
        <f t="shared" si="2"/>
        <v>0</v>
      </c>
      <c r="D83" s="13">
        <f t="shared" si="3"/>
        <v>0</v>
      </c>
    </row>
    <row r="84" spans="1:4" x14ac:dyDescent="0.2">
      <c r="A84" s="11" t="s">
        <v>160</v>
      </c>
      <c r="B84" s="2">
        <v>0</v>
      </c>
      <c r="C84" s="13">
        <f t="shared" si="2"/>
        <v>0</v>
      </c>
      <c r="D84" s="13">
        <f t="shared" si="3"/>
        <v>0</v>
      </c>
    </row>
    <row r="85" spans="1:4" x14ac:dyDescent="0.2">
      <c r="A85" s="11" t="s">
        <v>161</v>
      </c>
      <c r="B85" s="2">
        <v>0</v>
      </c>
      <c r="C85" s="13">
        <f t="shared" si="2"/>
        <v>0</v>
      </c>
      <c r="D85" s="13">
        <f t="shared" si="3"/>
        <v>0</v>
      </c>
    </row>
    <row r="86" spans="1:4" x14ac:dyDescent="0.2">
      <c r="A86" s="11" t="s">
        <v>166</v>
      </c>
      <c r="B86" s="2">
        <v>0</v>
      </c>
      <c r="C86" s="13">
        <f t="shared" si="2"/>
        <v>0</v>
      </c>
      <c r="D86" s="13">
        <f t="shared" si="3"/>
        <v>0</v>
      </c>
    </row>
    <row r="87" spans="1:4" x14ac:dyDescent="0.2">
      <c r="A87" s="11" t="s">
        <v>167</v>
      </c>
      <c r="B87" s="2">
        <v>0</v>
      </c>
      <c r="C87" s="13">
        <f t="shared" si="2"/>
        <v>0</v>
      </c>
      <c r="D87" s="13">
        <f t="shared" si="3"/>
        <v>0</v>
      </c>
    </row>
    <row r="88" spans="1:4" x14ac:dyDescent="0.2">
      <c r="A88" s="11" t="s">
        <v>170</v>
      </c>
      <c r="B88" s="2">
        <v>-2803.74</v>
      </c>
      <c r="C88" s="13">
        <f t="shared" si="2"/>
        <v>0</v>
      </c>
      <c r="D88" s="13">
        <f t="shared" si="3"/>
        <v>-2803.74</v>
      </c>
    </row>
    <row r="89" spans="1:4" x14ac:dyDescent="0.2">
      <c r="A89" s="11" t="s">
        <v>171</v>
      </c>
      <c r="B89" s="2">
        <v>0</v>
      </c>
      <c r="C89" s="13">
        <f t="shared" si="2"/>
        <v>0</v>
      </c>
      <c r="D89" s="13">
        <f t="shared" si="3"/>
        <v>0</v>
      </c>
    </row>
    <row r="90" spans="1:4" x14ac:dyDescent="0.2">
      <c r="A90" s="11" t="s">
        <v>172</v>
      </c>
      <c r="B90" s="2">
        <v>-2803.74</v>
      </c>
      <c r="C90" s="13">
        <f t="shared" si="2"/>
        <v>0</v>
      </c>
      <c r="D90" s="13">
        <f t="shared" si="3"/>
        <v>-2803.74</v>
      </c>
    </row>
    <row r="91" spans="1:4" x14ac:dyDescent="0.2">
      <c r="A91" s="11" t="s">
        <v>174</v>
      </c>
      <c r="B91" s="2">
        <v>0</v>
      </c>
      <c r="C91" s="13">
        <f t="shared" si="2"/>
        <v>0</v>
      </c>
      <c r="D91" s="13">
        <f t="shared" si="3"/>
        <v>0</v>
      </c>
    </row>
    <row r="92" spans="1:4" x14ac:dyDescent="0.2">
      <c r="A92" s="11" t="s">
        <v>175</v>
      </c>
      <c r="B92" s="2">
        <v>0</v>
      </c>
      <c r="C92" s="13">
        <f t="shared" si="2"/>
        <v>0</v>
      </c>
      <c r="D92" s="13">
        <f t="shared" si="3"/>
        <v>0</v>
      </c>
    </row>
    <row r="93" spans="1:4" x14ac:dyDescent="0.2">
      <c r="A93" s="11" t="s">
        <v>178</v>
      </c>
      <c r="B93" s="2">
        <v>0</v>
      </c>
      <c r="C93" s="13">
        <f t="shared" si="2"/>
        <v>0</v>
      </c>
      <c r="D93" s="13">
        <f t="shared" si="3"/>
        <v>0</v>
      </c>
    </row>
    <row r="94" spans="1:4" x14ac:dyDescent="0.2">
      <c r="A94" s="11" t="s">
        <v>179</v>
      </c>
      <c r="B94" s="2">
        <v>0</v>
      </c>
      <c r="C94" s="13">
        <f t="shared" si="2"/>
        <v>0</v>
      </c>
      <c r="D94" s="13">
        <f t="shared" si="3"/>
        <v>0</v>
      </c>
    </row>
    <row r="95" spans="1:4" x14ac:dyDescent="0.2">
      <c r="A95" s="11" t="s">
        <v>180</v>
      </c>
      <c r="B95" s="2">
        <v>0</v>
      </c>
      <c r="C95" s="13">
        <f t="shared" si="2"/>
        <v>0</v>
      </c>
      <c r="D95" s="13">
        <f t="shared" si="3"/>
        <v>0</v>
      </c>
    </row>
    <row r="96" spans="1:4" x14ac:dyDescent="0.2">
      <c r="A96" s="11" t="s">
        <v>181</v>
      </c>
      <c r="B96" s="2">
        <v>-28037.38</v>
      </c>
      <c r="C96" s="13">
        <f t="shared" si="2"/>
        <v>0</v>
      </c>
      <c r="D96" s="13">
        <f t="shared" si="3"/>
        <v>-28037.38</v>
      </c>
    </row>
    <row r="97" spans="1:4" x14ac:dyDescent="0.2">
      <c r="A97" s="11" t="s">
        <v>182</v>
      </c>
      <c r="B97" s="2">
        <v>-934.58</v>
      </c>
      <c r="C97" s="13">
        <f t="shared" si="2"/>
        <v>0</v>
      </c>
      <c r="D97" s="13">
        <f t="shared" si="3"/>
        <v>-934.58</v>
      </c>
    </row>
    <row r="98" spans="1:4" x14ac:dyDescent="0.2">
      <c r="A98" s="11" t="s">
        <v>293</v>
      </c>
      <c r="B98" s="2">
        <v>0</v>
      </c>
      <c r="C98" s="13">
        <f t="shared" si="2"/>
        <v>0</v>
      </c>
      <c r="D98" s="13">
        <f t="shared" si="3"/>
        <v>0</v>
      </c>
    </row>
    <row r="99" spans="1:4" x14ac:dyDescent="0.2">
      <c r="A99" s="11" t="s">
        <v>188</v>
      </c>
      <c r="B99" s="2">
        <v>-2803.74</v>
      </c>
      <c r="C99" s="13">
        <f t="shared" si="2"/>
        <v>0</v>
      </c>
      <c r="D99" s="13">
        <f t="shared" si="3"/>
        <v>-2803.74</v>
      </c>
    </row>
    <row r="100" spans="1:4" x14ac:dyDescent="0.2">
      <c r="A100" s="11" t="s">
        <v>189</v>
      </c>
      <c r="B100" s="2">
        <v>-2803.74</v>
      </c>
      <c r="C100" s="13">
        <f t="shared" si="2"/>
        <v>0</v>
      </c>
      <c r="D100" s="13">
        <f t="shared" si="3"/>
        <v>-2803.74</v>
      </c>
    </row>
    <row r="101" spans="1:4" x14ac:dyDescent="0.2">
      <c r="A101" s="11" t="s">
        <v>190</v>
      </c>
      <c r="B101" s="2">
        <v>0</v>
      </c>
      <c r="C101" s="13">
        <f t="shared" si="2"/>
        <v>0</v>
      </c>
      <c r="D101" s="13">
        <f t="shared" si="3"/>
        <v>0</v>
      </c>
    </row>
    <row r="102" spans="1:4" x14ac:dyDescent="0.2">
      <c r="A102" s="11" t="s">
        <v>191</v>
      </c>
      <c r="B102" s="2">
        <v>0</v>
      </c>
      <c r="C102" s="13">
        <f t="shared" si="2"/>
        <v>0</v>
      </c>
      <c r="D102" s="13">
        <f t="shared" si="3"/>
        <v>0</v>
      </c>
    </row>
    <row r="103" spans="1:4" x14ac:dyDescent="0.2">
      <c r="A103" s="11" t="s">
        <v>193</v>
      </c>
      <c r="B103" s="2">
        <v>-934.58</v>
      </c>
      <c r="C103" s="13">
        <f t="shared" si="2"/>
        <v>0</v>
      </c>
      <c r="D103" s="13">
        <f t="shared" si="3"/>
        <v>-934.58</v>
      </c>
    </row>
    <row r="104" spans="1:4" x14ac:dyDescent="0.2">
      <c r="A104" s="11" t="s">
        <v>194</v>
      </c>
      <c r="B104" s="2">
        <v>-2803.74</v>
      </c>
      <c r="C104" s="13">
        <f t="shared" si="2"/>
        <v>0</v>
      </c>
      <c r="D104" s="13">
        <f t="shared" si="3"/>
        <v>-2803.74</v>
      </c>
    </row>
    <row r="105" spans="1:4" x14ac:dyDescent="0.2">
      <c r="A105" s="11" t="s">
        <v>195</v>
      </c>
      <c r="B105" s="2">
        <v>-4672.8999999999996</v>
      </c>
      <c r="C105" s="13">
        <f t="shared" si="2"/>
        <v>0</v>
      </c>
      <c r="D105" s="13">
        <f t="shared" si="3"/>
        <v>-4672.8999999999996</v>
      </c>
    </row>
    <row r="106" spans="1:4" x14ac:dyDescent="0.2">
      <c r="A106" s="11" t="s">
        <v>196</v>
      </c>
      <c r="B106" s="2">
        <v>-2803.74</v>
      </c>
      <c r="C106" s="13">
        <f t="shared" si="2"/>
        <v>0</v>
      </c>
      <c r="D106" s="13">
        <f t="shared" si="3"/>
        <v>-2803.74</v>
      </c>
    </row>
    <row r="107" spans="1:4" x14ac:dyDescent="0.2">
      <c r="A107" s="11" t="s">
        <v>197</v>
      </c>
      <c r="B107" s="2">
        <v>0</v>
      </c>
      <c r="C107" s="13">
        <f t="shared" si="2"/>
        <v>0</v>
      </c>
      <c r="D107" s="13">
        <f t="shared" si="3"/>
        <v>0</v>
      </c>
    </row>
    <row r="108" spans="1:4" x14ac:dyDescent="0.2">
      <c r="A108" s="11" t="s">
        <v>198</v>
      </c>
      <c r="B108" s="2">
        <v>-3271.03</v>
      </c>
      <c r="C108" s="13">
        <f t="shared" si="2"/>
        <v>0</v>
      </c>
      <c r="D108" s="13">
        <f t="shared" si="3"/>
        <v>-3271.03</v>
      </c>
    </row>
    <row r="109" spans="1:4" x14ac:dyDescent="0.2">
      <c r="A109" s="11" t="s">
        <v>199</v>
      </c>
      <c r="B109" s="2">
        <v>0</v>
      </c>
      <c r="C109" s="13">
        <f t="shared" si="2"/>
        <v>0</v>
      </c>
      <c r="D109" s="13">
        <f t="shared" si="3"/>
        <v>0</v>
      </c>
    </row>
    <row r="110" spans="1:4" x14ac:dyDescent="0.2">
      <c r="A110" s="11" t="s">
        <v>346</v>
      </c>
      <c r="B110" s="2">
        <v>0</v>
      </c>
      <c r="C110" s="13">
        <f t="shared" si="2"/>
        <v>0</v>
      </c>
      <c r="D110" s="13">
        <f t="shared" si="3"/>
        <v>0</v>
      </c>
    </row>
    <row r="111" spans="1:4" x14ac:dyDescent="0.2">
      <c r="A111" s="11" t="s">
        <v>204</v>
      </c>
      <c r="B111" s="2">
        <v>0</v>
      </c>
      <c r="C111" s="13">
        <f t="shared" si="2"/>
        <v>0</v>
      </c>
      <c r="D111" s="13">
        <f t="shared" si="3"/>
        <v>0</v>
      </c>
    </row>
    <row r="112" spans="1:4" x14ac:dyDescent="0.2">
      <c r="A112" s="11" t="s">
        <v>205</v>
      </c>
      <c r="B112" s="2">
        <v>0</v>
      </c>
      <c r="C112" s="13">
        <f t="shared" si="2"/>
        <v>0</v>
      </c>
      <c r="D112" s="13">
        <f t="shared" si="3"/>
        <v>0</v>
      </c>
    </row>
    <row r="113" spans="1:4" x14ac:dyDescent="0.2">
      <c r="A113" s="11" t="s">
        <v>206</v>
      </c>
      <c r="B113" s="2">
        <v>0</v>
      </c>
      <c r="C113" s="13">
        <f t="shared" si="2"/>
        <v>0</v>
      </c>
      <c r="D113" s="13">
        <f t="shared" si="3"/>
        <v>0</v>
      </c>
    </row>
    <row r="114" spans="1:4" x14ac:dyDescent="0.2">
      <c r="A114" s="11" t="s">
        <v>207</v>
      </c>
      <c r="B114" s="2">
        <v>-2803.74</v>
      </c>
      <c r="C114" s="13">
        <f t="shared" si="2"/>
        <v>0</v>
      </c>
      <c r="D114" s="13">
        <f t="shared" si="3"/>
        <v>-2803.74</v>
      </c>
    </row>
    <row r="115" spans="1:4" x14ac:dyDescent="0.2">
      <c r="A115" s="11" t="s">
        <v>208</v>
      </c>
      <c r="B115" s="2">
        <v>-4672.8999999999996</v>
      </c>
      <c r="C115" s="13">
        <f t="shared" si="2"/>
        <v>0</v>
      </c>
      <c r="D115" s="13">
        <f t="shared" si="3"/>
        <v>-4672.8999999999996</v>
      </c>
    </row>
    <row r="116" spans="1:4" x14ac:dyDescent="0.2">
      <c r="A116" s="11" t="s">
        <v>216</v>
      </c>
      <c r="B116" s="2">
        <v>0</v>
      </c>
      <c r="C116" s="13">
        <f t="shared" si="2"/>
        <v>0</v>
      </c>
      <c r="D116" s="13">
        <f t="shared" si="3"/>
        <v>0</v>
      </c>
    </row>
    <row r="117" spans="1:4" x14ac:dyDescent="0.2">
      <c r="A117" s="11" t="s">
        <v>217</v>
      </c>
      <c r="B117" s="2">
        <v>0</v>
      </c>
      <c r="C117" s="13">
        <f t="shared" si="2"/>
        <v>0</v>
      </c>
      <c r="D117" s="13">
        <f t="shared" si="3"/>
        <v>0</v>
      </c>
    </row>
    <row r="118" spans="1:4" x14ac:dyDescent="0.2">
      <c r="A118" s="11" t="s">
        <v>218</v>
      </c>
      <c r="B118" s="2">
        <v>0</v>
      </c>
      <c r="C118" s="13">
        <f t="shared" si="2"/>
        <v>0</v>
      </c>
      <c r="D118" s="13">
        <f t="shared" si="3"/>
        <v>0</v>
      </c>
    </row>
    <row r="119" spans="1:4" x14ac:dyDescent="0.2">
      <c r="A119" s="11" t="s">
        <v>219</v>
      </c>
      <c r="B119" s="2">
        <v>0</v>
      </c>
      <c r="C119" s="13">
        <f t="shared" si="2"/>
        <v>0</v>
      </c>
      <c r="D119" s="13">
        <f t="shared" si="3"/>
        <v>0</v>
      </c>
    </row>
    <row r="120" spans="1:4" x14ac:dyDescent="0.2">
      <c r="A120" s="11" t="s">
        <v>221</v>
      </c>
      <c r="B120" s="2">
        <v>0</v>
      </c>
      <c r="C120" s="13">
        <f t="shared" si="2"/>
        <v>0</v>
      </c>
      <c r="D120" s="13">
        <f t="shared" si="3"/>
        <v>0</v>
      </c>
    </row>
    <row r="121" spans="1:4" x14ac:dyDescent="0.2">
      <c r="A121" s="11" t="s">
        <v>222</v>
      </c>
      <c r="B121" s="2">
        <v>0</v>
      </c>
      <c r="C121" s="13">
        <f t="shared" si="2"/>
        <v>0</v>
      </c>
      <c r="D121" s="13">
        <f t="shared" si="3"/>
        <v>0</v>
      </c>
    </row>
    <row r="122" spans="1:4" x14ac:dyDescent="0.2">
      <c r="A122" s="11" t="s">
        <v>230</v>
      </c>
      <c r="B122" s="2">
        <v>0</v>
      </c>
      <c r="C122" s="13">
        <f t="shared" si="2"/>
        <v>0</v>
      </c>
      <c r="D122" s="13">
        <f t="shared" si="3"/>
        <v>0</v>
      </c>
    </row>
    <row r="123" spans="1:4" x14ac:dyDescent="0.2">
      <c r="A123" s="11" t="s">
        <v>246</v>
      </c>
      <c r="B123" s="2">
        <v>0</v>
      </c>
      <c r="C123" s="13">
        <f t="shared" si="2"/>
        <v>0</v>
      </c>
      <c r="D123" s="13">
        <f t="shared" si="3"/>
        <v>0</v>
      </c>
    </row>
    <row r="124" spans="1:4" x14ac:dyDescent="0.2">
      <c r="A124" s="11" t="s">
        <v>247</v>
      </c>
      <c r="B124" s="2">
        <v>0</v>
      </c>
      <c r="C124" s="13">
        <f t="shared" si="2"/>
        <v>0</v>
      </c>
      <c r="D124" s="13">
        <f t="shared" si="3"/>
        <v>0</v>
      </c>
    </row>
    <row r="125" spans="1:4" x14ac:dyDescent="0.2">
      <c r="A125" s="11" t="s">
        <v>248</v>
      </c>
      <c r="B125" s="2">
        <v>0</v>
      </c>
      <c r="C125" s="13">
        <f t="shared" si="2"/>
        <v>0</v>
      </c>
      <c r="D125" s="13">
        <f t="shared" si="3"/>
        <v>0</v>
      </c>
    </row>
    <row r="126" spans="1:4" x14ac:dyDescent="0.2">
      <c r="A126" s="11" t="s">
        <v>249</v>
      </c>
      <c r="B126" s="2">
        <v>-2.2737367544323206E-13</v>
      </c>
      <c r="C126" s="13">
        <f t="shared" si="2"/>
        <v>0</v>
      </c>
      <c r="D126" s="13">
        <f t="shared" si="3"/>
        <v>-2.2737367544323206E-13</v>
      </c>
    </row>
    <row r="127" spans="1:4" x14ac:dyDescent="0.2">
      <c r="A127" s="11" t="s">
        <v>250</v>
      </c>
      <c r="B127" s="2">
        <v>-4672.8999999999996</v>
      </c>
      <c r="C127" s="13">
        <f t="shared" si="2"/>
        <v>0</v>
      </c>
      <c r="D127" s="13">
        <f t="shared" si="3"/>
        <v>-4672.8999999999996</v>
      </c>
    </row>
    <row r="128" spans="1:4" x14ac:dyDescent="0.2">
      <c r="A128" s="11" t="s">
        <v>251</v>
      </c>
      <c r="B128" s="2">
        <v>-2803.74</v>
      </c>
      <c r="C128" s="13">
        <f t="shared" si="2"/>
        <v>0</v>
      </c>
      <c r="D128" s="13">
        <f t="shared" si="3"/>
        <v>-2803.74</v>
      </c>
    </row>
    <row r="129" spans="1:4" x14ac:dyDescent="0.2">
      <c r="A129" s="11" t="s">
        <v>252</v>
      </c>
      <c r="B129" s="2">
        <v>-934.58</v>
      </c>
      <c r="C129" s="13">
        <f t="shared" si="2"/>
        <v>0</v>
      </c>
      <c r="D129" s="13">
        <f t="shared" si="3"/>
        <v>-934.58</v>
      </c>
    </row>
    <row r="130" spans="1:4" x14ac:dyDescent="0.2">
      <c r="A130" s="11" t="s">
        <v>253</v>
      </c>
      <c r="B130" s="2">
        <v>-934.58</v>
      </c>
      <c r="C130" s="13">
        <f t="shared" si="2"/>
        <v>0</v>
      </c>
      <c r="D130" s="13">
        <f t="shared" si="3"/>
        <v>-934.58</v>
      </c>
    </row>
    <row r="131" spans="1:4" x14ac:dyDescent="0.2">
      <c r="A131" s="11" t="s">
        <v>255</v>
      </c>
      <c r="B131" s="2">
        <v>0</v>
      </c>
      <c r="C131" s="13">
        <f t="shared" si="2"/>
        <v>0</v>
      </c>
      <c r="D131" s="13">
        <f t="shared" si="3"/>
        <v>0</v>
      </c>
    </row>
    <row r="132" spans="1:4" x14ac:dyDescent="0.2">
      <c r="A132" s="11" t="s">
        <v>254</v>
      </c>
      <c r="B132" s="2">
        <v>0</v>
      </c>
      <c r="C132" s="13">
        <f t="shared" si="2"/>
        <v>0</v>
      </c>
      <c r="D132" s="13">
        <f t="shared" si="3"/>
        <v>0</v>
      </c>
    </row>
    <row r="133" spans="1:4" x14ac:dyDescent="0.2">
      <c r="A133" s="11" t="s">
        <v>270</v>
      </c>
      <c r="B133" s="2">
        <v>0</v>
      </c>
      <c r="C133" s="13">
        <f t="shared" ref="C133:C171" si="4">IF(B133&gt;0,B133,0)</f>
        <v>0</v>
      </c>
      <c r="D133" s="13">
        <f t="shared" ref="D133:D171" si="5">IF(B133&lt;0,B133,0)</f>
        <v>0</v>
      </c>
    </row>
    <row r="134" spans="1:4" x14ac:dyDescent="0.2">
      <c r="A134" s="11" t="s">
        <v>271</v>
      </c>
      <c r="B134" s="2">
        <v>-9345.7900000000009</v>
      </c>
      <c r="C134" s="13">
        <f t="shared" si="4"/>
        <v>0</v>
      </c>
      <c r="D134" s="13">
        <f t="shared" si="5"/>
        <v>-9345.7900000000009</v>
      </c>
    </row>
    <row r="135" spans="1:4" x14ac:dyDescent="0.2">
      <c r="A135" s="11" t="s">
        <v>272</v>
      </c>
      <c r="B135" s="2">
        <v>-934.58</v>
      </c>
      <c r="C135" s="13">
        <f t="shared" si="4"/>
        <v>0</v>
      </c>
      <c r="D135" s="13">
        <f t="shared" si="5"/>
        <v>-934.58</v>
      </c>
    </row>
    <row r="136" spans="1:4" x14ac:dyDescent="0.2">
      <c r="A136" s="11" t="s">
        <v>273</v>
      </c>
      <c r="B136" s="2">
        <v>-2803.74</v>
      </c>
      <c r="C136" s="13">
        <f t="shared" si="4"/>
        <v>0</v>
      </c>
      <c r="D136" s="13">
        <f t="shared" si="5"/>
        <v>-2803.74</v>
      </c>
    </row>
    <row r="137" spans="1:4" x14ac:dyDescent="0.2">
      <c r="A137" s="11" t="s">
        <v>274</v>
      </c>
      <c r="B137" s="2">
        <v>-9345.7900000000009</v>
      </c>
      <c r="C137" s="13">
        <f t="shared" si="4"/>
        <v>0</v>
      </c>
      <c r="D137" s="13">
        <f t="shared" si="5"/>
        <v>-9345.7900000000009</v>
      </c>
    </row>
    <row r="138" spans="1:4" x14ac:dyDescent="0.2">
      <c r="A138" s="11" t="s">
        <v>275</v>
      </c>
      <c r="B138" s="2">
        <v>-934.58</v>
      </c>
      <c r="C138" s="13">
        <f t="shared" si="4"/>
        <v>0</v>
      </c>
      <c r="D138" s="13">
        <f t="shared" si="5"/>
        <v>-934.58</v>
      </c>
    </row>
    <row r="139" spans="1:4" x14ac:dyDescent="0.2">
      <c r="A139" s="11" t="s">
        <v>276</v>
      </c>
      <c r="B139" s="2">
        <v>0</v>
      </c>
      <c r="C139" s="13">
        <f t="shared" si="4"/>
        <v>0</v>
      </c>
      <c r="D139" s="13">
        <f t="shared" si="5"/>
        <v>0</v>
      </c>
    </row>
    <row r="140" spans="1:4" x14ac:dyDescent="0.2">
      <c r="A140" s="11" t="s">
        <v>277</v>
      </c>
      <c r="B140" s="2">
        <v>-934.58</v>
      </c>
      <c r="C140" s="13">
        <f t="shared" si="4"/>
        <v>0</v>
      </c>
      <c r="D140" s="13">
        <f t="shared" si="5"/>
        <v>-934.58</v>
      </c>
    </row>
    <row r="141" spans="1:4" x14ac:dyDescent="0.2">
      <c r="A141" s="11" t="s">
        <v>279</v>
      </c>
      <c r="B141" s="2">
        <v>0</v>
      </c>
      <c r="C141" s="13">
        <f t="shared" si="4"/>
        <v>0</v>
      </c>
      <c r="D141" s="13">
        <f t="shared" si="5"/>
        <v>0</v>
      </c>
    </row>
    <row r="142" spans="1:4" x14ac:dyDescent="0.2">
      <c r="A142" s="11" t="s">
        <v>295</v>
      </c>
      <c r="B142" s="2">
        <v>0</v>
      </c>
      <c r="C142" s="13">
        <f t="shared" si="4"/>
        <v>0</v>
      </c>
      <c r="D142" s="13">
        <f t="shared" si="5"/>
        <v>0</v>
      </c>
    </row>
    <row r="143" spans="1:4" x14ac:dyDescent="0.2">
      <c r="A143" s="11" t="s">
        <v>305</v>
      </c>
      <c r="B143" s="2">
        <v>0</v>
      </c>
      <c r="C143" s="13">
        <f t="shared" si="4"/>
        <v>0</v>
      </c>
      <c r="D143" s="13">
        <f t="shared" si="5"/>
        <v>0</v>
      </c>
    </row>
    <row r="144" spans="1:4" x14ac:dyDescent="0.2">
      <c r="A144" s="11" t="s">
        <v>306</v>
      </c>
      <c r="B144" s="2">
        <v>0</v>
      </c>
      <c r="C144" s="13">
        <f t="shared" si="4"/>
        <v>0</v>
      </c>
      <c r="D144" s="13">
        <f t="shared" si="5"/>
        <v>0</v>
      </c>
    </row>
    <row r="145" spans="1:4" x14ac:dyDescent="0.2">
      <c r="A145" s="11" t="s">
        <v>307</v>
      </c>
      <c r="B145" s="2">
        <v>0</v>
      </c>
      <c r="C145" s="13">
        <f t="shared" si="4"/>
        <v>0</v>
      </c>
      <c r="D145" s="13">
        <f t="shared" si="5"/>
        <v>0</v>
      </c>
    </row>
    <row r="146" spans="1:4" x14ac:dyDescent="0.2">
      <c r="A146" s="11" t="s">
        <v>308</v>
      </c>
      <c r="B146" s="2">
        <v>0</v>
      </c>
      <c r="C146" s="13">
        <f t="shared" si="4"/>
        <v>0</v>
      </c>
      <c r="D146" s="13">
        <f t="shared" si="5"/>
        <v>0</v>
      </c>
    </row>
    <row r="147" spans="1:4" x14ac:dyDescent="0.2">
      <c r="A147" s="11" t="s">
        <v>311</v>
      </c>
      <c r="B147" s="2">
        <v>-1869.16</v>
      </c>
      <c r="C147" s="13">
        <f t="shared" si="4"/>
        <v>0</v>
      </c>
      <c r="D147" s="13">
        <f t="shared" si="5"/>
        <v>-1869.16</v>
      </c>
    </row>
    <row r="148" spans="1:4" x14ac:dyDescent="0.2">
      <c r="A148" s="11" t="s">
        <v>312</v>
      </c>
      <c r="B148" s="2">
        <v>-2803.74</v>
      </c>
      <c r="C148" s="13">
        <f t="shared" si="4"/>
        <v>0</v>
      </c>
      <c r="D148" s="13">
        <f t="shared" si="5"/>
        <v>-2803.74</v>
      </c>
    </row>
    <row r="149" spans="1:4" x14ac:dyDescent="0.2">
      <c r="A149" s="11" t="s">
        <v>313</v>
      </c>
      <c r="B149" s="2">
        <v>-1869.16</v>
      </c>
      <c r="C149" s="13">
        <f t="shared" si="4"/>
        <v>0</v>
      </c>
      <c r="D149" s="13">
        <f t="shared" si="5"/>
        <v>-1869.16</v>
      </c>
    </row>
    <row r="150" spans="1:4" x14ac:dyDescent="0.2">
      <c r="A150" s="11" t="s">
        <v>314</v>
      </c>
      <c r="B150" s="2">
        <v>-934.58</v>
      </c>
      <c r="C150" s="13">
        <f t="shared" si="4"/>
        <v>0</v>
      </c>
      <c r="D150" s="13">
        <f t="shared" si="5"/>
        <v>-934.58</v>
      </c>
    </row>
    <row r="151" spans="1:4" x14ac:dyDescent="0.2">
      <c r="A151" s="11" t="s">
        <v>315</v>
      </c>
      <c r="B151" s="2">
        <v>-2803.74</v>
      </c>
      <c r="C151" s="13">
        <f t="shared" si="4"/>
        <v>0</v>
      </c>
      <c r="D151" s="13">
        <f t="shared" si="5"/>
        <v>-2803.74</v>
      </c>
    </row>
    <row r="152" spans="1:4" x14ac:dyDescent="0.2">
      <c r="A152" s="11" t="s">
        <v>316</v>
      </c>
      <c r="B152" s="2">
        <v>-2803.74</v>
      </c>
      <c r="C152" s="13">
        <f t="shared" si="4"/>
        <v>0</v>
      </c>
      <c r="D152" s="13">
        <f t="shared" si="5"/>
        <v>-2803.74</v>
      </c>
    </row>
    <row r="153" spans="1:4" x14ac:dyDescent="0.2">
      <c r="A153" s="11" t="s">
        <v>317</v>
      </c>
      <c r="B153" s="2">
        <v>-9345.7900000000009</v>
      </c>
      <c r="C153" s="13">
        <f t="shared" si="4"/>
        <v>0</v>
      </c>
      <c r="D153" s="13">
        <f t="shared" si="5"/>
        <v>-9345.7900000000009</v>
      </c>
    </row>
    <row r="154" spans="1:4" x14ac:dyDescent="0.2">
      <c r="A154" s="11" t="s">
        <v>318</v>
      </c>
      <c r="B154" s="2">
        <v>-2803.74</v>
      </c>
      <c r="C154" s="13">
        <f t="shared" si="4"/>
        <v>0</v>
      </c>
      <c r="D154" s="13">
        <f t="shared" si="5"/>
        <v>-2803.74</v>
      </c>
    </row>
    <row r="155" spans="1:4" x14ac:dyDescent="0.2">
      <c r="A155" s="11" t="s">
        <v>324</v>
      </c>
      <c r="B155" s="2">
        <v>0</v>
      </c>
      <c r="C155" s="13">
        <f t="shared" si="4"/>
        <v>0</v>
      </c>
      <c r="D155" s="13">
        <f t="shared" si="5"/>
        <v>0</v>
      </c>
    </row>
    <row r="156" spans="1:4" x14ac:dyDescent="0.2">
      <c r="A156" s="11" t="s">
        <v>325</v>
      </c>
      <c r="B156" s="2">
        <v>-1869.16</v>
      </c>
      <c r="C156" s="13">
        <f t="shared" si="4"/>
        <v>0</v>
      </c>
      <c r="D156" s="13">
        <f t="shared" si="5"/>
        <v>-1869.16</v>
      </c>
    </row>
    <row r="157" spans="1:4" x14ac:dyDescent="0.2">
      <c r="A157" s="11" t="s">
        <v>326</v>
      </c>
      <c r="B157" s="2">
        <v>-4672.8999999999996</v>
      </c>
      <c r="C157" s="13">
        <f t="shared" si="4"/>
        <v>0</v>
      </c>
      <c r="D157" s="13">
        <f t="shared" si="5"/>
        <v>-4672.8999999999996</v>
      </c>
    </row>
    <row r="158" spans="1:4" x14ac:dyDescent="0.2">
      <c r="A158" s="11" t="s">
        <v>327</v>
      </c>
      <c r="B158" s="2">
        <v>-1869.16</v>
      </c>
      <c r="C158" s="13">
        <f t="shared" si="4"/>
        <v>0</v>
      </c>
      <c r="D158" s="13">
        <f t="shared" si="5"/>
        <v>-1869.16</v>
      </c>
    </row>
    <row r="159" spans="1:4" x14ac:dyDescent="0.2">
      <c r="A159" s="11" t="s">
        <v>328</v>
      </c>
      <c r="B159" s="2">
        <v>-1869.16</v>
      </c>
      <c r="C159" s="13">
        <f t="shared" si="4"/>
        <v>0</v>
      </c>
      <c r="D159" s="13">
        <f t="shared" si="5"/>
        <v>-1869.16</v>
      </c>
    </row>
    <row r="160" spans="1:4" x14ac:dyDescent="0.2">
      <c r="A160" s="11" t="s">
        <v>329</v>
      </c>
      <c r="B160" s="2">
        <v>-1869.16</v>
      </c>
      <c r="C160" s="13">
        <f t="shared" si="4"/>
        <v>0</v>
      </c>
      <c r="D160" s="13">
        <f t="shared" si="5"/>
        <v>-1869.16</v>
      </c>
    </row>
    <row r="161" spans="1:4" x14ac:dyDescent="0.2">
      <c r="A161" s="11" t="s">
        <v>330</v>
      </c>
      <c r="B161" s="2">
        <v>-2803.74</v>
      </c>
      <c r="C161" s="13">
        <f t="shared" si="4"/>
        <v>0</v>
      </c>
      <c r="D161" s="13">
        <f t="shared" si="5"/>
        <v>-2803.74</v>
      </c>
    </row>
    <row r="162" spans="1:4" x14ac:dyDescent="0.2">
      <c r="A162" s="11" t="s">
        <v>331</v>
      </c>
      <c r="B162" s="2">
        <v>-1869.16</v>
      </c>
      <c r="C162" s="13">
        <f t="shared" si="4"/>
        <v>0</v>
      </c>
      <c r="D162" s="13">
        <f t="shared" si="5"/>
        <v>-1869.16</v>
      </c>
    </row>
    <row r="163" spans="1:4" x14ac:dyDescent="0.2">
      <c r="A163" s="11" t="s">
        <v>338</v>
      </c>
      <c r="B163" s="2">
        <v>-2803.74</v>
      </c>
      <c r="C163" s="13">
        <f t="shared" si="4"/>
        <v>0</v>
      </c>
      <c r="D163" s="13">
        <f t="shared" si="5"/>
        <v>-2803.74</v>
      </c>
    </row>
    <row r="164" spans="1:4" x14ac:dyDescent="0.2">
      <c r="A164" s="11" t="s">
        <v>339</v>
      </c>
      <c r="B164" s="2">
        <v>0</v>
      </c>
      <c r="C164" s="13">
        <f t="shared" si="4"/>
        <v>0</v>
      </c>
      <c r="D164" s="13">
        <f t="shared" si="5"/>
        <v>0</v>
      </c>
    </row>
    <row r="165" spans="1:4" x14ac:dyDescent="0.2">
      <c r="A165" s="11" t="s">
        <v>340</v>
      </c>
      <c r="B165" s="2">
        <v>-2803.74</v>
      </c>
      <c r="C165" s="13">
        <f t="shared" si="4"/>
        <v>0</v>
      </c>
      <c r="D165" s="13">
        <f t="shared" si="5"/>
        <v>-2803.74</v>
      </c>
    </row>
    <row r="166" spans="1:4" x14ac:dyDescent="0.2">
      <c r="A166" s="11" t="s">
        <v>341</v>
      </c>
      <c r="B166" s="2">
        <v>-2803.74</v>
      </c>
      <c r="C166" s="13">
        <f t="shared" si="4"/>
        <v>0</v>
      </c>
      <c r="D166" s="13">
        <f t="shared" si="5"/>
        <v>-2803.74</v>
      </c>
    </row>
    <row r="167" spans="1:4" x14ac:dyDescent="0.2">
      <c r="A167" s="11" t="s">
        <v>343</v>
      </c>
      <c r="B167" s="2">
        <v>-2803.74</v>
      </c>
      <c r="C167" s="13">
        <f t="shared" si="4"/>
        <v>0</v>
      </c>
      <c r="D167" s="13">
        <f t="shared" si="5"/>
        <v>-2803.74</v>
      </c>
    </row>
    <row r="168" spans="1:4" x14ac:dyDescent="0.2">
      <c r="A168" s="11" t="s">
        <v>344</v>
      </c>
      <c r="B168" s="2">
        <v>-1869.16</v>
      </c>
      <c r="C168" s="13">
        <f t="shared" si="4"/>
        <v>0</v>
      </c>
      <c r="D168" s="13">
        <f t="shared" si="5"/>
        <v>-1869.16</v>
      </c>
    </row>
    <row r="169" spans="1:4" x14ac:dyDescent="0.2">
      <c r="A169" s="11" t="s">
        <v>309</v>
      </c>
      <c r="B169" s="2">
        <v>-934.58</v>
      </c>
      <c r="C169" s="13">
        <f t="shared" si="4"/>
        <v>0</v>
      </c>
      <c r="D169" s="13">
        <f t="shared" si="5"/>
        <v>-934.58</v>
      </c>
    </row>
    <row r="170" spans="1:4" x14ac:dyDescent="0.2">
      <c r="A170" s="11" t="s">
        <v>310</v>
      </c>
      <c r="B170" s="2">
        <v>-934.58</v>
      </c>
      <c r="C170" s="13">
        <f t="shared" si="4"/>
        <v>0</v>
      </c>
      <c r="D170" s="13">
        <f t="shared" si="5"/>
        <v>-934.58</v>
      </c>
    </row>
    <row r="171" spans="1:4" x14ac:dyDescent="0.2">
      <c r="A171" s="11" t="s">
        <v>498</v>
      </c>
      <c r="B171" s="2">
        <v>-177102.86</v>
      </c>
      <c r="C171" s="13">
        <f t="shared" si="4"/>
        <v>0</v>
      </c>
      <c r="D171" s="13">
        <f t="shared" si="5"/>
        <v>-177102.86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CA2F-8F0A-466C-816D-EE085C6E70CC}">
  <dimension ref="A1:G441"/>
  <sheetViews>
    <sheetView workbookViewId="0">
      <selection activeCell="M18" sqref="M18"/>
    </sheetView>
  </sheetViews>
  <sheetFormatPr defaultRowHeight="14.25" x14ac:dyDescent="0.2"/>
  <cols>
    <col min="1" max="1" width="12.625" customWidth="1"/>
    <col min="2" max="2" width="13.625" customWidth="1"/>
    <col min="3" max="3" width="16.75" customWidth="1"/>
    <col min="4" max="4" width="49.875" bestFit="1" customWidth="1"/>
    <col min="5" max="7" width="15.875" style="2" customWidth="1"/>
  </cols>
  <sheetData>
    <row r="1" spans="1:7" x14ac:dyDescent="0.2">
      <c r="A1" s="4" t="s">
        <v>9</v>
      </c>
      <c r="B1" s="4" t="s">
        <v>10</v>
      </c>
      <c r="C1" s="4" t="s">
        <v>11</v>
      </c>
      <c r="D1" s="4" t="s">
        <v>12</v>
      </c>
      <c r="E1" s="5" t="s">
        <v>13</v>
      </c>
      <c r="F1" s="5" t="s">
        <v>14</v>
      </c>
      <c r="G1" s="5" t="s">
        <v>16</v>
      </c>
    </row>
    <row r="2" spans="1:7" x14ac:dyDescent="0.2">
      <c r="A2" s="1">
        <v>244253</v>
      </c>
      <c r="B2" t="s">
        <v>18</v>
      </c>
      <c r="C2" t="s">
        <v>19</v>
      </c>
      <c r="D2" t="s">
        <v>20</v>
      </c>
      <c r="F2" s="6">
        <v>4672.8999999999996</v>
      </c>
      <c r="G2" s="2">
        <v>-4672.8999999999996</v>
      </c>
    </row>
    <row r="3" spans="1:7" x14ac:dyDescent="0.2">
      <c r="A3" s="1">
        <v>244256</v>
      </c>
      <c r="B3" t="s">
        <v>18</v>
      </c>
      <c r="C3" t="s">
        <v>21</v>
      </c>
      <c r="D3" t="s">
        <v>22</v>
      </c>
      <c r="F3" s="6">
        <v>4672.8999999999996</v>
      </c>
      <c r="G3" s="2">
        <v>-9345.7999999999993</v>
      </c>
    </row>
    <row r="4" spans="1:7" x14ac:dyDescent="0.2">
      <c r="A4" s="1">
        <v>244257</v>
      </c>
      <c r="B4" t="s">
        <v>18</v>
      </c>
      <c r="C4" t="s">
        <v>23</v>
      </c>
      <c r="D4" t="s">
        <v>24</v>
      </c>
      <c r="E4" s="2">
        <v>4672.8999999999996</v>
      </c>
      <c r="G4" s="2">
        <v>-4672.8999999999996</v>
      </c>
    </row>
    <row r="5" spans="1:7" x14ac:dyDescent="0.2">
      <c r="A5" s="1">
        <v>244257</v>
      </c>
      <c r="B5" t="s">
        <v>18</v>
      </c>
      <c r="C5" t="s">
        <v>25</v>
      </c>
      <c r="D5" t="s">
        <v>26</v>
      </c>
      <c r="F5" s="2">
        <v>4672.8999999999996</v>
      </c>
      <c r="G5" s="2">
        <v>-9345.7999999999993</v>
      </c>
    </row>
    <row r="6" spans="1:7" x14ac:dyDescent="0.2">
      <c r="A6" s="1">
        <v>244259</v>
      </c>
      <c r="B6" t="s">
        <v>18</v>
      </c>
      <c r="C6" t="s">
        <v>27</v>
      </c>
      <c r="D6" t="s">
        <v>28</v>
      </c>
      <c r="F6" s="2">
        <v>9345.7900000000009</v>
      </c>
      <c r="G6" s="2">
        <v>-18691.59</v>
      </c>
    </row>
    <row r="7" spans="1:7" x14ac:dyDescent="0.2">
      <c r="A7" s="1">
        <v>244264</v>
      </c>
      <c r="B7" t="s">
        <v>18</v>
      </c>
      <c r="C7" t="s">
        <v>29</v>
      </c>
      <c r="D7" t="s">
        <v>30</v>
      </c>
      <c r="F7" s="2">
        <v>2803.74</v>
      </c>
      <c r="G7" s="2">
        <v>-21495.33</v>
      </c>
    </row>
    <row r="8" spans="1:7" x14ac:dyDescent="0.2">
      <c r="A8" s="1">
        <v>244264</v>
      </c>
      <c r="B8" t="s">
        <v>18</v>
      </c>
      <c r="C8" t="s">
        <v>29</v>
      </c>
      <c r="D8" t="s">
        <v>31</v>
      </c>
      <c r="F8" s="2">
        <v>4672.8999999999996</v>
      </c>
      <c r="G8" s="2">
        <v>-26168.23</v>
      </c>
    </row>
    <row r="9" spans="1:7" x14ac:dyDescent="0.2">
      <c r="A9" s="1">
        <v>244264</v>
      </c>
      <c r="B9" t="s">
        <v>18</v>
      </c>
      <c r="C9" t="s">
        <v>29</v>
      </c>
      <c r="D9" t="s">
        <v>32</v>
      </c>
      <c r="F9" s="2">
        <v>1869.16</v>
      </c>
      <c r="G9" s="2">
        <v>-28037.39</v>
      </c>
    </row>
    <row r="10" spans="1:7" x14ac:dyDescent="0.2">
      <c r="A10" s="1">
        <v>244264</v>
      </c>
      <c r="B10" t="s">
        <v>18</v>
      </c>
      <c r="C10" t="s">
        <v>29</v>
      </c>
      <c r="D10" t="s">
        <v>33</v>
      </c>
      <c r="F10" s="2">
        <v>2803.74</v>
      </c>
      <c r="G10" s="2">
        <v>-30841.13</v>
      </c>
    </row>
    <row r="11" spans="1:7" x14ac:dyDescent="0.2">
      <c r="A11" s="1">
        <v>244265</v>
      </c>
      <c r="B11" t="s">
        <v>18</v>
      </c>
      <c r="C11" t="s">
        <v>34</v>
      </c>
      <c r="D11" t="s">
        <v>35</v>
      </c>
      <c r="E11" s="2">
        <v>4672.8999999999996</v>
      </c>
      <c r="G11" s="2">
        <v>-26168.23</v>
      </c>
    </row>
    <row r="12" spans="1:7" x14ac:dyDescent="0.2">
      <c r="A12" s="1">
        <v>244265</v>
      </c>
      <c r="B12" t="s">
        <v>18</v>
      </c>
      <c r="C12" t="s">
        <v>36</v>
      </c>
      <c r="D12" t="s">
        <v>28</v>
      </c>
      <c r="E12" s="2">
        <v>9345.7900000000009</v>
      </c>
      <c r="G12" s="2">
        <v>-16822.439999999999</v>
      </c>
    </row>
    <row r="13" spans="1:7" x14ac:dyDescent="0.2">
      <c r="A13" s="1">
        <v>244265</v>
      </c>
      <c r="B13" t="s">
        <v>18</v>
      </c>
      <c r="C13" t="s">
        <v>36</v>
      </c>
      <c r="D13" t="s">
        <v>37</v>
      </c>
      <c r="F13" s="2">
        <v>2803.74</v>
      </c>
      <c r="G13" s="2">
        <v>-19626.18</v>
      </c>
    </row>
    <row r="14" spans="1:7" x14ac:dyDescent="0.2">
      <c r="A14" s="1">
        <v>244266</v>
      </c>
      <c r="B14" t="s">
        <v>18</v>
      </c>
      <c r="C14" t="s">
        <v>38</v>
      </c>
      <c r="D14" t="s">
        <v>39</v>
      </c>
      <c r="F14" s="2">
        <v>4672.8999999999996</v>
      </c>
      <c r="G14" s="2">
        <v>-24299.08</v>
      </c>
    </row>
    <row r="15" spans="1:7" x14ac:dyDescent="0.2">
      <c r="A15" s="1">
        <v>244266</v>
      </c>
      <c r="B15" t="s">
        <v>18</v>
      </c>
      <c r="C15" t="s">
        <v>38</v>
      </c>
      <c r="D15" t="s">
        <v>40</v>
      </c>
      <c r="F15" s="2">
        <v>934.58</v>
      </c>
      <c r="G15" s="2">
        <v>-25233.66</v>
      </c>
    </row>
    <row r="16" spans="1:7" x14ac:dyDescent="0.2">
      <c r="A16" s="1">
        <v>244267</v>
      </c>
      <c r="B16" t="s">
        <v>18</v>
      </c>
      <c r="C16" t="s">
        <v>41</v>
      </c>
      <c r="D16" t="s">
        <v>26</v>
      </c>
      <c r="E16" s="2">
        <v>4672.8999999999996</v>
      </c>
      <c r="G16" s="2">
        <v>-20560.759999999998</v>
      </c>
    </row>
    <row r="17" spans="1:7" x14ac:dyDescent="0.2">
      <c r="A17" s="1">
        <v>244272</v>
      </c>
      <c r="B17" t="s">
        <v>18</v>
      </c>
      <c r="C17" t="s">
        <v>42</v>
      </c>
      <c r="D17" t="s">
        <v>43</v>
      </c>
      <c r="E17" s="2">
        <v>4672.8999999999996</v>
      </c>
      <c r="G17" s="2">
        <v>-15887.86</v>
      </c>
    </row>
    <row r="18" spans="1:7" x14ac:dyDescent="0.2">
      <c r="A18" s="1">
        <v>244272</v>
      </c>
      <c r="B18" t="s">
        <v>18</v>
      </c>
      <c r="C18" t="s">
        <v>44</v>
      </c>
      <c r="D18" t="s">
        <v>22</v>
      </c>
      <c r="E18" s="6">
        <v>4672.8999999999996</v>
      </c>
      <c r="G18" s="2">
        <v>-11214.96</v>
      </c>
    </row>
    <row r="19" spans="1:7" x14ac:dyDescent="0.2">
      <c r="A19" s="1">
        <v>244272</v>
      </c>
      <c r="B19" t="s">
        <v>18</v>
      </c>
      <c r="C19" t="s">
        <v>45</v>
      </c>
      <c r="D19" t="s">
        <v>46</v>
      </c>
      <c r="F19" s="2">
        <v>9345.7900000000009</v>
      </c>
      <c r="G19" s="2">
        <v>-20560.75</v>
      </c>
    </row>
    <row r="20" spans="1:7" x14ac:dyDescent="0.2">
      <c r="A20" s="1">
        <v>244272</v>
      </c>
      <c r="B20" t="s">
        <v>18</v>
      </c>
      <c r="C20" t="s">
        <v>45</v>
      </c>
      <c r="D20" t="s">
        <v>47</v>
      </c>
      <c r="F20" s="2">
        <v>4672.8999999999996</v>
      </c>
      <c r="G20" s="2">
        <v>-25233.65</v>
      </c>
    </row>
    <row r="21" spans="1:7" x14ac:dyDescent="0.2">
      <c r="A21" s="1">
        <v>244272</v>
      </c>
      <c r="B21" t="s">
        <v>18</v>
      </c>
      <c r="C21" t="s">
        <v>45</v>
      </c>
      <c r="D21" t="s">
        <v>48</v>
      </c>
      <c r="F21" s="2">
        <v>2803.74</v>
      </c>
      <c r="G21" s="2">
        <v>-28037.39</v>
      </c>
    </row>
    <row r="22" spans="1:7" x14ac:dyDescent="0.2">
      <c r="A22" s="1">
        <v>244274</v>
      </c>
      <c r="B22" t="s">
        <v>18</v>
      </c>
      <c r="C22" t="s">
        <v>49</v>
      </c>
      <c r="D22" t="s">
        <v>50</v>
      </c>
      <c r="F22" s="2">
        <v>2803.74</v>
      </c>
      <c r="G22" s="2">
        <v>-30841.13</v>
      </c>
    </row>
    <row r="23" spans="1:7" x14ac:dyDescent="0.2">
      <c r="A23" s="1">
        <v>244278</v>
      </c>
      <c r="B23" t="s">
        <v>18</v>
      </c>
      <c r="C23" t="s">
        <v>51</v>
      </c>
      <c r="D23" t="s">
        <v>33</v>
      </c>
      <c r="E23" s="2">
        <v>2803.74</v>
      </c>
      <c r="G23" s="2">
        <v>-28037.39</v>
      </c>
    </row>
    <row r="24" spans="1:7" x14ac:dyDescent="0.2">
      <c r="A24" s="1">
        <v>244278</v>
      </c>
      <c r="B24" t="s">
        <v>18</v>
      </c>
      <c r="C24" t="s">
        <v>52</v>
      </c>
      <c r="D24" t="s">
        <v>53</v>
      </c>
      <c r="F24" s="2">
        <v>2803.74</v>
      </c>
      <c r="G24" s="2">
        <v>-30841.13</v>
      </c>
    </row>
    <row r="25" spans="1:7" x14ac:dyDescent="0.2">
      <c r="A25" s="1">
        <v>244278</v>
      </c>
      <c r="B25" t="s">
        <v>18</v>
      </c>
      <c r="C25" t="s">
        <v>52</v>
      </c>
      <c r="D25" t="s">
        <v>54</v>
      </c>
      <c r="F25" s="2">
        <v>32710.28</v>
      </c>
      <c r="G25" s="2">
        <v>-63551.41</v>
      </c>
    </row>
    <row r="26" spans="1:7" x14ac:dyDescent="0.2">
      <c r="A26" s="1">
        <v>244279</v>
      </c>
      <c r="B26" t="s">
        <v>18</v>
      </c>
      <c r="C26" t="s">
        <v>55</v>
      </c>
      <c r="D26" t="s">
        <v>31</v>
      </c>
      <c r="E26" s="2">
        <v>4672.8999999999996</v>
      </c>
      <c r="G26" s="2">
        <v>-58878.51</v>
      </c>
    </row>
    <row r="27" spans="1:7" x14ac:dyDescent="0.2">
      <c r="A27" s="1">
        <v>244281</v>
      </c>
      <c r="B27" t="s">
        <v>18</v>
      </c>
      <c r="C27" t="s">
        <v>56</v>
      </c>
      <c r="D27" t="s">
        <v>57</v>
      </c>
      <c r="E27" s="2">
        <v>9345.7900000000009</v>
      </c>
      <c r="G27" s="2">
        <v>-49532.72</v>
      </c>
    </row>
    <row r="28" spans="1:7" x14ac:dyDescent="0.2">
      <c r="A28" s="1">
        <v>244282</v>
      </c>
      <c r="B28" t="s">
        <v>18</v>
      </c>
      <c r="C28" t="s">
        <v>58</v>
      </c>
      <c r="D28" t="s">
        <v>59</v>
      </c>
      <c r="F28" s="2">
        <v>4672.8999999999996</v>
      </c>
      <c r="G28" s="2">
        <v>-54205.62</v>
      </c>
    </row>
    <row r="29" spans="1:7" x14ac:dyDescent="0.2">
      <c r="A29" s="1">
        <v>244284</v>
      </c>
      <c r="B29" t="s">
        <v>60</v>
      </c>
      <c r="C29" t="s">
        <v>61</v>
      </c>
      <c r="D29" t="s">
        <v>62</v>
      </c>
      <c r="E29" s="2">
        <v>4672.8999999999996</v>
      </c>
      <c r="G29" s="2">
        <v>-49532.72</v>
      </c>
    </row>
    <row r="30" spans="1:7" x14ac:dyDescent="0.2">
      <c r="A30" s="1">
        <v>244284</v>
      </c>
      <c r="B30" t="s">
        <v>60</v>
      </c>
      <c r="C30" t="s">
        <v>61</v>
      </c>
      <c r="D30" t="s">
        <v>63</v>
      </c>
      <c r="E30" s="6">
        <v>4672.8999999999996</v>
      </c>
      <c r="G30" s="2">
        <v>-44859.82</v>
      </c>
    </row>
    <row r="31" spans="1:7" x14ac:dyDescent="0.2">
      <c r="A31" s="1">
        <v>244284</v>
      </c>
      <c r="B31" t="s">
        <v>60</v>
      </c>
      <c r="C31" t="s">
        <v>61</v>
      </c>
      <c r="D31" t="s">
        <v>64</v>
      </c>
      <c r="E31" s="2">
        <v>2803.74</v>
      </c>
      <c r="G31" s="2">
        <v>-42056.08</v>
      </c>
    </row>
    <row r="32" spans="1:7" x14ac:dyDescent="0.2">
      <c r="A32" s="1">
        <v>244285</v>
      </c>
      <c r="B32" t="s">
        <v>18</v>
      </c>
      <c r="C32" t="s">
        <v>65</v>
      </c>
      <c r="D32" t="s">
        <v>47</v>
      </c>
      <c r="E32" s="2">
        <v>4672.8999999999996</v>
      </c>
      <c r="G32" s="2">
        <v>-37383.18</v>
      </c>
    </row>
    <row r="33" spans="1:7" x14ac:dyDescent="0.2">
      <c r="A33" s="1">
        <v>244285</v>
      </c>
      <c r="B33" t="s">
        <v>18</v>
      </c>
      <c r="C33" t="s">
        <v>66</v>
      </c>
      <c r="D33" t="s">
        <v>67</v>
      </c>
      <c r="F33" s="2">
        <v>56074.77</v>
      </c>
      <c r="G33" s="2">
        <v>-93457.95</v>
      </c>
    </row>
    <row r="34" spans="1:7" x14ac:dyDescent="0.2">
      <c r="A34" s="1">
        <v>244286</v>
      </c>
      <c r="B34" t="s">
        <v>18</v>
      </c>
      <c r="C34" t="s">
        <v>68</v>
      </c>
      <c r="D34" t="s">
        <v>69</v>
      </c>
      <c r="F34" s="2">
        <v>4672.8999999999996</v>
      </c>
      <c r="G34" s="2">
        <v>-98130.85</v>
      </c>
    </row>
    <row r="35" spans="1:7" x14ac:dyDescent="0.2">
      <c r="A35" s="1">
        <v>244286</v>
      </c>
      <c r="B35" t="s">
        <v>18</v>
      </c>
      <c r="C35" t="s">
        <v>68</v>
      </c>
      <c r="D35" t="s">
        <v>70</v>
      </c>
      <c r="F35" s="2">
        <v>2803.74</v>
      </c>
      <c r="G35" s="2">
        <v>-100934.59</v>
      </c>
    </row>
    <row r="36" spans="1:7" x14ac:dyDescent="0.2">
      <c r="A36" s="1">
        <v>244286</v>
      </c>
      <c r="B36" t="s">
        <v>18</v>
      </c>
      <c r="C36" t="s">
        <v>68</v>
      </c>
      <c r="D36" t="s">
        <v>71</v>
      </c>
      <c r="F36" s="2">
        <v>2803.74</v>
      </c>
      <c r="G36" s="2">
        <v>-103738.33</v>
      </c>
    </row>
    <row r="37" spans="1:7" x14ac:dyDescent="0.2">
      <c r="A37" s="1">
        <v>244286</v>
      </c>
      <c r="B37" t="s">
        <v>18</v>
      </c>
      <c r="C37" t="s">
        <v>68</v>
      </c>
      <c r="D37" t="s">
        <v>72</v>
      </c>
      <c r="F37" s="2">
        <v>4672.8999999999996</v>
      </c>
      <c r="G37" s="2">
        <v>-108411.23</v>
      </c>
    </row>
    <row r="38" spans="1:7" x14ac:dyDescent="0.2">
      <c r="A38" s="1">
        <v>244287</v>
      </c>
      <c r="B38" t="s">
        <v>18</v>
      </c>
      <c r="C38" t="s">
        <v>73</v>
      </c>
      <c r="D38" t="s">
        <v>74</v>
      </c>
      <c r="F38" s="2">
        <v>28037.38</v>
      </c>
      <c r="G38" s="2">
        <v>-136448.60999999999</v>
      </c>
    </row>
    <row r="39" spans="1:7" x14ac:dyDescent="0.2">
      <c r="A39" s="1">
        <v>244288</v>
      </c>
      <c r="B39" t="s">
        <v>18</v>
      </c>
      <c r="C39" t="s">
        <v>75</v>
      </c>
      <c r="D39" t="s">
        <v>76</v>
      </c>
      <c r="E39" s="2">
        <v>934.58</v>
      </c>
      <c r="G39" s="2">
        <v>-135514.03</v>
      </c>
    </row>
    <row r="40" spans="1:7" x14ac:dyDescent="0.2">
      <c r="A40" s="1">
        <v>244288</v>
      </c>
      <c r="B40" t="s">
        <v>18</v>
      </c>
      <c r="C40" t="s">
        <v>77</v>
      </c>
      <c r="D40" t="s">
        <v>53</v>
      </c>
      <c r="E40" s="2">
        <v>2803.74</v>
      </c>
      <c r="G40" s="2">
        <v>-132710.29</v>
      </c>
    </row>
    <row r="41" spans="1:7" x14ac:dyDescent="0.2">
      <c r="A41" s="1">
        <v>244288</v>
      </c>
      <c r="B41" t="s">
        <v>18</v>
      </c>
      <c r="C41" t="s">
        <v>77</v>
      </c>
      <c r="D41" t="s">
        <v>78</v>
      </c>
      <c r="F41" s="2">
        <v>1869.16</v>
      </c>
      <c r="G41" s="2">
        <v>-134579.45000000001</v>
      </c>
    </row>
    <row r="42" spans="1:7" x14ac:dyDescent="0.2">
      <c r="A42" s="1">
        <v>244288</v>
      </c>
      <c r="B42" t="s">
        <v>18</v>
      </c>
      <c r="C42" t="s">
        <v>77</v>
      </c>
      <c r="D42" t="s">
        <v>69</v>
      </c>
      <c r="E42" s="2">
        <v>4672.8999999999996</v>
      </c>
      <c r="G42" s="2">
        <v>-129906.55</v>
      </c>
    </row>
    <row r="43" spans="1:7" x14ac:dyDescent="0.2">
      <c r="A43" s="1">
        <v>244288</v>
      </c>
      <c r="B43" t="s">
        <v>18</v>
      </c>
      <c r="C43" t="s">
        <v>77</v>
      </c>
      <c r="D43" t="s">
        <v>67</v>
      </c>
      <c r="E43" s="2">
        <v>56074.77</v>
      </c>
      <c r="G43" s="2">
        <v>-73831.78</v>
      </c>
    </row>
    <row r="44" spans="1:7" x14ac:dyDescent="0.2">
      <c r="A44" s="1">
        <v>244291</v>
      </c>
      <c r="B44" t="s">
        <v>18</v>
      </c>
      <c r="C44" t="s">
        <v>79</v>
      </c>
      <c r="D44" t="s">
        <v>80</v>
      </c>
      <c r="F44" s="2">
        <v>4672.8999999999996</v>
      </c>
      <c r="G44" s="2">
        <v>-78504.679999999993</v>
      </c>
    </row>
    <row r="45" spans="1:7" x14ac:dyDescent="0.2">
      <c r="A45" s="1">
        <v>244291</v>
      </c>
      <c r="B45" t="s">
        <v>18</v>
      </c>
      <c r="C45" t="s">
        <v>79</v>
      </c>
      <c r="D45" t="s">
        <v>81</v>
      </c>
      <c r="F45" s="2">
        <v>4672.8999999999996</v>
      </c>
      <c r="G45" s="2">
        <v>-83177.58</v>
      </c>
    </row>
    <row r="46" spans="1:7" x14ac:dyDescent="0.2">
      <c r="A46" s="1">
        <v>244291</v>
      </c>
      <c r="B46" t="s">
        <v>18</v>
      </c>
      <c r="C46" t="s">
        <v>79</v>
      </c>
      <c r="D46" t="s">
        <v>82</v>
      </c>
      <c r="F46" s="2">
        <v>28037.38</v>
      </c>
      <c r="G46" s="2">
        <v>-111214.96</v>
      </c>
    </row>
    <row r="47" spans="1:7" x14ac:dyDescent="0.2">
      <c r="A47" s="1">
        <v>244291</v>
      </c>
      <c r="B47" t="s">
        <v>18</v>
      </c>
      <c r="C47" t="s">
        <v>79</v>
      </c>
      <c r="D47" t="s">
        <v>83</v>
      </c>
      <c r="F47" s="2">
        <v>4672.8999999999996</v>
      </c>
      <c r="G47" s="2">
        <v>-115887.86</v>
      </c>
    </row>
    <row r="48" spans="1:7" x14ac:dyDescent="0.2">
      <c r="A48" s="1">
        <v>244291</v>
      </c>
      <c r="B48" t="s">
        <v>18</v>
      </c>
      <c r="C48" t="s">
        <v>79</v>
      </c>
      <c r="D48" t="s">
        <v>84</v>
      </c>
      <c r="F48" s="2">
        <v>4672.8999999999996</v>
      </c>
      <c r="G48" s="2">
        <v>-120560.76</v>
      </c>
    </row>
    <row r="49" spans="1:7" x14ac:dyDescent="0.2">
      <c r="A49" s="1">
        <v>244292</v>
      </c>
      <c r="B49" t="s">
        <v>18</v>
      </c>
      <c r="C49" t="s">
        <v>85</v>
      </c>
      <c r="D49" t="s">
        <v>86</v>
      </c>
      <c r="F49" s="2">
        <v>4672.8999999999996</v>
      </c>
      <c r="G49" s="2">
        <v>-125233.66</v>
      </c>
    </row>
    <row r="50" spans="1:7" x14ac:dyDescent="0.2">
      <c r="A50" s="1">
        <v>244292</v>
      </c>
      <c r="B50" t="s">
        <v>18</v>
      </c>
      <c r="C50" t="s">
        <v>85</v>
      </c>
      <c r="D50" t="s">
        <v>87</v>
      </c>
      <c r="F50" s="2">
        <v>2803.74</v>
      </c>
      <c r="G50" s="2">
        <v>-128037.4</v>
      </c>
    </row>
    <row r="51" spans="1:7" x14ac:dyDescent="0.2">
      <c r="A51" s="1">
        <v>244292</v>
      </c>
      <c r="B51" t="s">
        <v>18</v>
      </c>
      <c r="C51" t="s">
        <v>85</v>
      </c>
      <c r="D51" t="s">
        <v>88</v>
      </c>
      <c r="F51" s="2">
        <v>4672.8999999999996</v>
      </c>
      <c r="G51" s="2">
        <v>-132710.29999999999</v>
      </c>
    </row>
    <row r="52" spans="1:7" x14ac:dyDescent="0.2">
      <c r="A52" s="1">
        <v>244292</v>
      </c>
      <c r="B52" t="s">
        <v>18</v>
      </c>
      <c r="C52" t="s">
        <v>85</v>
      </c>
      <c r="D52" t="s">
        <v>89</v>
      </c>
      <c r="F52" s="2">
        <v>4672.8999999999996</v>
      </c>
      <c r="G52" s="2">
        <v>-137383.20000000001</v>
      </c>
    </row>
    <row r="53" spans="1:7" x14ac:dyDescent="0.2">
      <c r="A53" s="1">
        <v>244292</v>
      </c>
      <c r="B53" t="s">
        <v>18</v>
      </c>
      <c r="C53" t="s">
        <v>85</v>
      </c>
      <c r="D53" t="s">
        <v>90</v>
      </c>
      <c r="F53" s="2">
        <v>4672.8999999999996</v>
      </c>
      <c r="G53" s="2">
        <v>-142056.1</v>
      </c>
    </row>
    <row r="54" spans="1:7" x14ac:dyDescent="0.2">
      <c r="A54" s="1">
        <v>244293</v>
      </c>
      <c r="B54" t="s">
        <v>18</v>
      </c>
      <c r="C54" t="s">
        <v>91</v>
      </c>
      <c r="D54" t="s">
        <v>92</v>
      </c>
      <c r="F54" s="2">
        <v>934.58</v>
      </c>
      <c r="G54" s="2">
        <v>-142990.68</v>
      </c>
    </row>
    <row r="55" spans="1:7" x14ac:dyDescent="0.2">
      <c r="A55" s="1">
        <v>244293</v>
      </c>
      <c r="B55" t="s">
        <v>18</v>
      </c>
      <c r="C55" t="s">
        <v>91</v>
      </c>
      <c r="D55" t="s">
        <v>93</v>
      </c>
      <c r="F55" s="2">
        <v>18691.59</v>
      </c>
      <c r="G55" s="2">
        <v>-161682.26999999999</v>
      </c>
    </row>
    <row r="56" spans="1:7" x14ac:dyDescent="0.2">
      <c r="A56" s="1">
        <v>244293</v>
      </c>
      <c r="B56" t="s">
        <v>18</v>
      </c>
      <c r="C56" t="s">
        <v>91</v>
      </c>
      <c r="D56" t="s">
        <v>54</v>
      </c>
      <c r="E56" s="2">
        <v>32710.28</v>
      </c>
      <c r="G56" s="2">
        <v>-128971.99</v>
      </c>
    </row>
    <row r="57" spans="1:7" x14ac:dyDescent="0.2">
      <c r="A57" s="1">
        <v>244293</v>
      </c>
      <c r="B57" t="s">
        <v>18</v>
      </c>
      <c r="C57" t="s">
        <v>91</v>
      </c>
      <c r="D57" t="s">
        <v>82</v>
      </c>
      <c r="E57" s="2">
        <v>28037.38</v>
      </c>
      <c r="G57" s="2">
        <v>-100934.61</v>
      </c>
    </row>
    <row r="58" spans="1:7" x14ac:dyDescent="0.2">
      <c r="A58" s="1">
        <v>244294</v>
      </c>
      <c r="B58" t="s">
        <v>18</v>
      </c>
      <c r="C58" t="s">
        <v>94</v>
      </c>
      <c r="D58" t="s">
        <v>95</v>
      </c>
      <c r="F58" s="2">
        <v>28037.38</v>
      </c>
      <c r="G58" s="2">
        <v>-128971.99</v>
      </c>
    </row>
    <row r="59" spans="1:7" x14ac:dyDescent="0.2">
      <c r="A59" s="1">
        <v>244295</v>
      </c>
      <c r="B59" t="s">
        <v>18</v>
      </c>
      <c r="C59" t="s">
        <v>96</v>
      </c>
      <c r="D59" t="s">
        <v>93</v>
      </c>
      <c r="E59" s="2">
        <v>18691.59</v>
      </c>
      <c r="G59" s="2">
        <v>-110280.4</v>
      </c>
    </row>
    <row r="60" spans="1:7" x14ac:dyDescent="0.2">
      <c r="A60" s="1">
        <v>244295</v>
      </c>
      <c r="B60" t="s">
        <v>18</v>
      </c>
      <c r="C60" t="s">
        <v>96</v>
      </c>
      <c r="D60" t="s">
        <v>88</v>
      </c>
      <c r="E60" s="2">
        <v>4672.8999999999996</v>
      </c>
      <c r="G60" s="2">
        <v>-105607.5</v>
      </c>
    </row>
    <row r="61" spans="1:7" x14ac:dyDescent="0.2">
      <c r="A61" s="1">
        <v>244295</v>
      </c>
      <c r="B61" t="s">
        <v>18</v>
      </c>
      <c r="C61" t="s">
        <v>96</v>
      </c>
      <c r="D61" t="s">
        <v>97</v>
      </c>
      <c r="F61" s="2">
        <v>2803.74</v>
      </c>
      <c r="G61" s="2">
        <v>-108411.24</v>
      </c>
    </row>
    <row r="62" spans="1:7" x14ac:dyDescent="0.2">
      <c r="A62" s="1">
        <v>244296</v>
      </c>
      <c r="B62" t="s">
        <v>18</v>
      </c>
      <c r="C62" t="s">
        <v>98</v>
      </c>
      <c r="D62" t="s">
        <v>95</v>
      </c>
      <c r="E62" s="2">
        <v>28037.38</v>
      </c>
      <c r="G62" s="2">
        <v>-80373.86</v>
      </c>
    </row>
    <row r="63" spans="1:7" x14ac:dyDescent="0.2">
      <c r="A63" s="1">
        <v>244296</v>
      </c>
      <c r="B63" t="s">
        <v>18</v>
      </c>
      <c r="C63" t="s">
        <v>98</v>
      </c>
      <c r="D63" t="s">
        <v>99</v>
      </c>
      <c r="F63" s="2">
        <v>1869.16</v>
      </c>
      <c r="G63" s="2">
        <v>-82243.02</v>
      </c>
    </row>
    <row r="64" spans="1:7" x14ac:dyDescent="0.2">
      <c r="A64" s="1">
        <v>244298</v>
      </c>
      <c r="B64" t="s">
        <v>18</v>
      </c>
      <c r="C64" t="s">
        <v>100</v>
      </c>
      <c r="D64" t="s">
        <v>101</v>
      </c>
      <c r="F64" s="2">
        <v>2803.74</v>
      </c>
      <c r="G64" s="2">
        <v>-85046.76</v>
      </c>
    </row>
    <row r="65" spans="1:7" x14ac:dyDescent="0.2">
      <c r="A65" s="1">
        <v>244298</v>
      </c>
      <c r="B65" t="s">
        <v>18</v>
      </c>
      <c r="C65" t="s">
        <v>100</v>
      </c>
      <c r="D65" t="s">
        <v>59</v>
      </c>
      <c r="E65" s="2">
        <v>4672.8999999999996</v>
      </c>
      <c r="G65" s="2">
        <v>-80373.86</v>
      </c>
    </row>
    <row r="66" spans="1:7" x14ac:dyDescent="0.2">
      <c r="A66" s="1">
        <v>244298</v>
      </c>
      <c r="B66" t="s">
        <v>18</v>
      </c>
      <c r="C66" t="s">
        <v>100</v>
      </c>
      <c r="D66" t="s">
        <v>74</v>
      </c>
      <c r="E66" s="2">
        <v>28037.38</v>
      </c>
      <c r="G66" s="2">
        <v>-52336.480000000003</v>
      </c>
    </row>
    <row r="67" spans="1:7" x14ac:dyDescent="0.2">
      <c r="A67" s="1">
        <v>244298</v>
      </c>
      <c r="B67" t="s">
        <v>18</v>
      </c>
      <c r="C67" t="s">
        <v>100</v>
      </c>
      <c r="D67" t="s">
        <v>102</v>
      </c>
      <c r="F67" s="2">
        <v>28037.38</v>
      </c>
      <c r="G67" s="2">
        <v>-80373.86</v>
      </c>
    </row>
    <row r="68" spans="1:7" x14ac:dyDescent="0.2">
      <c r="A68" s="1">
        <v>244298</v>
      </c>
      <c r="B68" t="s">
        <v>18</v>
      </c>
      <c r="C68" t="s">
        <v>100</v>
      </c>
      <c r="D68" t="s">
        <v>103</v>
      </c>
      <c r="F68" s="2">
        <v>4672.8999999999996</v>
      </c>
      <c r="G68" s="2">
        <v>-85046.76</v>
      </c>
    </row>
    <row r="69" spans="1:7" x14ac:dyDescent="0.2">
      <c r="A69" s="1">
        <v>244298</v>
      </c>
      <c r="B69" t="s">
        <v>18</v>
      </c>
      <c r="C69" t="s">
        <v>100</v>
      </c>
      <c r="D69" t="s">
        <v>104</v>
      </c>
      <c r="F69" s="2">
        <v>2803.74</v>
      </c>
      <c r="G69" s="2">
        <v>-87850.5</v>
      </c>
    </row>
    <row r="70" spans="1:7" x14ac:dyDescent="0.2">
      <c r="A70" s="1">
        <v>244298</v>
      </c>
      <c r="B70" t="s">
        <v>18</v>
      </c>
      <c r="C70" t="s">
        <v>100</v>
      </c>
      <c r="D70" t="s">
        <v>105</v>
      </c>
      <c r="F70" s="2">
        <v>4672.8999999999996</v>
      </c>
      <c r="G70" s="2">
        <v>-92523.4</v>
      </c>
    </row>
    <row r="71" spans="1:7" x14ac:dyDescent="0.2">
      <c r="A71" s="1">
        <v>244299</v>
      </c>
      <c r="B71" t="s">
        <v>18</v>
      </c>
      <c r="C71" t="s">
        <v>106</v>
      </c>
      <c r="D71" t="s">
        <v>107</v>
      </c>
      <c r="F71" s="2">
        <v>28037.38</v>
      </c>
      <c r="G71" s="2">
        <v>-120560.78</v>
      </c>
    </row>
    <row r="72" spans="1:7" x14ac:dyDescent="0.2">
      <c r="A72" s="1">
        <v>244302</v>
      </c>
      <c r="B72" t="s">
        <v>18</v>
      </c>
      <c r="C72" t="s">
        <v>108</v>
      </c>
      <c r="D72" t="s">
        <v>107</v>
      </c>
      <c r="E72" s="2">
        <v>28037.38</v>
      </c>
      <c r="G72" s="2">
        <v>-92523.4</v>
      </c>
    </row>
    <row r="73" spans="1:7" x14ac:dyDescent="0.2">
      <c r="A73" s="1">
        <v>244303</v>
      </c>
      <c r="B73" t="s">
        <v>18</v>
      </c>
      <c r="C73" t="s">
        <v>109</v>
      </c>
      <c r="D73" t="s">
        <v>110</v>
      </c>
      <c r="F73" s="2">
        <v>2803.74</v>
      </c>
      <c r="G73" s="2">
        <v>-95327.14</v>
      </c>
    </row>
    <row r="74" spans="1:7" x14ac:dyDescent="0.2">
      <c r="A74" s="1">
        <v>244303</v>
      </c>
      <c r="B74" t="s">
        <v>18</v>
      </c>
      <c r="C74" t="s">
        <v>109</v>
      </c>
      <c r="D74" t="s">
        <v>111</v>
      </c>
      <c r="F74" s="2">
        <v>4672.8999999999996</v>
      </c>
      <c r="G74" s="2">
        <v>-100000.04</v>
      </c>
    </row>
    <row r="75" spans="1:7" x14ac:dyDescent="0.2">
      <c r="A75" s="1">
        <v>244303</v>
      </c>
      <c r="B75" t="s">
        <v>18</v>
      </c>
      <c r="C75" t="s">
        <v>109</v>
      </c>
      <c r="D75" t="s">
        <v>112</v>
      </c>
      <c r="F75" s="2">
        <v>28037.38</v>
      </c>
      <c r="G75" s="2">
        <v>-128037.42</v>
      </c>
    </row>
    <row r="76" spans="1:7" x14ac:dyDescent="0.2">
      <c r="A76" s="1">
        <v>244303</v>
      </c>
      <c r="B76" t="s">
        <v>18</v>
      </c>
      <c r="C76" t="s">
        <v>109</v>
      </c>
      <c r="D76" t="s">
        <v>113</v>
      </c>
      <c r="F76" s="2">
        <v>2803.74</v>
      </c>
      <c r="G76" s="2">
        <v>-130841.16</v>
      </c>
    </row>
    <row r="77" spans="1:7" x14ac:dyDescent="0.2">
      <c r="A77" s="1">
        <v>244303</v>
      </c>
      <c r="B77" t="s">
        <v>18</v>
      </c>
      <c r="C77" t="s">
        <v>109</v>
      </c>
      <c r="D77" t="s">
        <v>114</v>
      </c>
      <c r="F77" s="2">
        <v>9345.7900000000009</v>
      </c>
      <c r="G77" s="2">
        <v>-140186.95000000001</v>
      </c>
    </row>
    <row r="78" spans="1:7" x14ac:dyDescent="0.2">
      <c r="A78" s="1">
        <v>244305</v>
      </c>
      <c r="B78" t="s">
        <v>18</v>
      </c>
      <c r="C78" t="s">
        <v>115</v>
      </c>
      <c r="D78" t="s">
        <v>70</v>
      </c>
      <c r="E78" s="2">
        <v>2803.74</v>
      </c>
      <c r="G78" s="2">
        <v>-137383.21</v>
      </c>
    </row>
    <row r="79" spans="1:7" x14ac:dyDescent="0.2">
      <c r="A79" s="1">
        <v>244305</v>
      </c>
      <c r="B79" t="s">
        <v>18</v>
      </c>
      <c r="C79" t="s">
        <v>115</v>
      </c>
      <c r="D79" t="s">
        <v>116</v>
      </c>
      <c r="F79" s="2">
        <v>4672.8999999999996</v>
      </c>
      <c r="G79" s="2">
        <v>-142056.10999999999</v>
      </c>
    </row>
    <row r="80" spans="1:7" x14ac:dyDescent="0.2">
      <c r="A80" s="1">
        <v>244305</v>
      </c>
      <c r="B80" t="s">
        <v>18</v>
      </c>
      <c r="C80" t="s">
        <v>115</v>
      </c>
      <c r="D80" t="s">
        <v>117</v>
      </c>
      <c r="F80" s="2">
        <v>23364.49</v>
      </c>
      <c r="G80" s="2">
        <v>-165420.6</v>
      </c>
    </row>
    <row r="81" spans="1:7" x14ac:dyDescent="0.2">
      <c r="A81" s="1">
        <v>244305</v>
      </c>
      <c r="B81" t="s">
        <v>18</v>
      </c>
      <c r="C81" t="s">
        <v>115</v>
      </c>
      <c r="D81" t="s">
        <v>118</v>
      </c>
      <c r="F81" s="2">
        <v>2803.74</v>
      </c>
      <c r="G81" s="2">
        <v>-168224.34</v>
      </c>
    </row>
    <row r="82" spans="1:7" x14ac:dyDescent="0.2">
      <c r="A82" s="1">
        <v>244306</v>
      </c>
      <c r="B82" t="s">
        <v>18</v>
      </c>
      <c r="C82" t="s">
        <v>119</v>
      </c>
      <c r="D82" t="s">
        <v>120</v>
      </c>
      <c r="F82" s="2">
        <v>2803.74</v>
      </c>
      <c r="G82" s="2">
        <v>-171028.08</v>
      </c>
    </row>
    <row r="83" spans="1:7" x14ac:dyDescent="0.2">
      <c r="A83" s="1">
        <v>244306</v>
      </c>
      <c r="B83" t="s">
        <v>18</v>
      </c>
      <c r="C83" t="s">
        <v>119</v>
      </c>
      <c r="D83" t="s">
        <v>121</v>
      </c>
      <c r="F83" s="2">
        <v>4672.8999999999996</v>
      </c>
      <c r="G83" s="2">
        <v>-175700.98</v>
      </c>
    </row>
    <row r="84" spans="1:7" x14ac:dyDescent="0.2">
      <c r="A84" s="1">
        <v>244307</v>
      </c>
      <c r="B84" t="s">
        <v>18</v>
      </c>
      <c r="C84" t="s">
        <v>122</v>
      </c>
      <c r="D84" t="s">
        <v>71</v>
      </c>
      <c r="E84" s="2">
        <v>2803.74</v>
      </c>
      <c r="G84" s="2">
        <v>-172897.24</v>
      </c>
    </row>
    <row r="85" spans="1:7" x14ac:dyDescent="0.2">
      <c r="A85" s="1">
        <v>244307</v>
      </c>
      <c r="B85" t="s">
        <v>18</v>
      </c>
      <c r="C85" t="s">
        <v>122</v>
      </c>
      <c r="D85" t="s">
        <v>123</v>
      </c>
      <c r="F85" s="2">
        <v>5607.48</v>
      </c>
      <c r="G85" s="2">
        <v>-178504.72</v>
      </c>
    </row>
    <row r="86" spans="1:7" x14ac:dyDescent="0.2">
      <c r="A86" s="1">
        <v>244308</v>
      </c>
      <c r="B86" t="s">
        <v>18</v>
      </c>
      <c r="C86" t="s">
        <v>124</v>
      </c>
      <c r="D86" t="s">
        <v>125</v>
      </c>
      <c r="F86" s="2">
        <v>2803.74</v>
      </c>
      <c r="G86" s="2">
        <v>-181308.46</v>
      </c>
    </row>
    <row r="87" spans="1:7" x14ac:dyDescent="0.2">
      <c r="A87" s="1">
        <v>244310</v>
      </c>
      <c r="B87" t="s">
        <v>18</v>
      </c>
      <c r="C87" t="s">
        <v>126</v>
      </c>
      <c r="D87" t="s">
        <v>127</v>
      </c>
      <c r="F87" s="2">
        <v>4672.8999999999996</v>
      </c>
      <c r="G87" s="2">
        <v>-185981.36</v>
      </c>
    </row>
    <row r="88" spans="1:7" x14ac:dyDescent="0.2">
      <c r="A88" s="1">
        <v>244312</v>
      </c>
      <c r="B88" t="s">
        <v>18</v>
      </c>
      <c r="C88" t="s">
        <v>128</v>
      </c>
      <c r="D88" t="s">
        <v>127</v>
      </c>
      <c r="E88" s="2">
        <v>4672.8999999999996</v>
      </c>
      <c r="G88" s="2">
        <v>-181308.46</v>
      </c>
    </row>
    <row r="89" spans="1:7" x14ac:dyDescent="0.2">
      <c r="A89" s="1">
        <v>244312</v>
      </c>
      <c r="B89" t="s">
        <v>18</v>
      </c>
      <c r="C89" t="s">
        <v>128</v>
      </c>
      <c r="D89" t="s">
        <v>117</v>
      </c>
      <c r="E89" s="2">
        <v>23364.49</v>
      </c>
      <c r="G89" s="2">
        <v>-157943.97</v>
      </c>
    </row>
    <row r="90" spans="1:7" x14ac:dyDescent="0.2">
      <c r="A90" s="1">
        <v>244312</v>
      </c>
      <c r="B90" t="s">
        <v>18</v>
      </c>
      <c r="C90" t="s">
        <v>128</v>
      </c>
      <c r="D90" t="s">
        <v>129</v>
      </c>
      <c r="F90" s="2">
        <v>4672.8999999999996</v>
      </c>
      <c r="G90" s="2">
        <v>-162616.87</v>
      </c>
    </row>
    <row r="91" spans="1:7" x14ac:dyDescent="0.2">
      <c r="A91" s="1">
        <v>244312</v>
      </c>
      <c r="B91" t="s">
        <v>18</v>
      </c>
      <c r="C91" t="s">
        <v>128</v>
      </c>
      <c r="D91" t="s">
        <v>90</v>
      </c>
      <c r="E91" s="2">
        <v>4672.8999999999996</v>
      </c>
      <c r="G91" s="2">
        <v>-157943.97</v>
      </c>
    </row>
    <row r="92" spans="1:7" x14ac:dyDescent="0.2">
      <c r="A92" s="1">
        <v>244312</v>
      </c>
      <c r="B92" t="s">
        <v>18</v>
      </c>
      <c r="C92" t="s">
        <v>128</v>
      </c>
      <c r="D92" t="s">
        <v>130</v>
      </c>
      <c r="F92" s="2">
        <v>4672.8999999999996</v>
      </c>
      <c r="G92" s="2">
        <v>-162616.87</v>
      </c>
    </row>
    <row r="93" spans="1:7" x14ac:dyDescent="0.2">
      <c r="A93" s="1">
        <v>244312</v>
      </c>
      <c r="B93" t="s">
        <v>18</v>
      </c>
      <c r="C93" t="s">
        <v>128</v>
      </c>
      <c r="D93" t="s">
        <v>102</v>
      </c>
      <c r="E93" s="2">
        <v>28037.38</v>
      </c>
      <c r="G93" s="2">
        <v>-134579.49</v>
      </c>
    </row>
    <row r="94" spans="1:7" x14ac:dyDescent="0.2">
      <c r="A94" s="1">
        <v>244312</v>
      </c>
      <c r="B94" t="s">
        <v>18</v>
      </c>
      <c r="C94" t="s">
        <v>128</v>
      </c>
      <c r="D94" t="s">
        <v>131</v>
      </c>
      <c r="F94" s="2">
        <v>2803.74</v>
      </c>
      <c r="G94" s="2">
        <v>-137383.23000000001</v>
      </c>
    </row>
    <row r="95" spans="1:7" x14ac:dyDescent="0.2">
      <c r="A95" s="1">
        <v>244312</v>
      </c>
      <c r="B95" t="s">
        <v>18</v>
      </c>
      <c r="C95" t="s">
        <v>128</v>
      </c>
      <c r="D95" t="s">
        <v>132</v>
      </c>
      <c r="F95" s="2">
        <v>4672.8999999999996</v>
      </c>
      <c r="G95" s="2">
        <v>-142056.13</v>
      </c>
    </row>
    <row r="96" spans="1:7" x14ac:dyDescent="0.2">
      <c r="A96" s="1">
        <v>244314</v>
      </c>
      <c r="B96" t="s">
        <v>18</v>
      </c>
      <c r="C96" t="s">
        <v>133</v>
      </c>
      <c r="D96" t="s">
        <v>105</v>
      </c>
      <c r="E96" s="2">
        <v>4672.8999999999996</v>
      </c>
      <c r="G96" s="2">
        <v>-137383.23000000001</v>
      </c>
    </row>
    <row r="97" spans="1:7" x14ac:dyDescent="0.2">
      <c r="A97" s="1">
        <v>244314</v>
      </c>
      <c r="B97" t="s">
        <v>18</v>
      </c>
      <c r="C97" t="s">
        <v>134</v>
      </c>
      <c r="D97" t="s">
        <v>121</v>
      </c>
      <c r="E97" s="2">
        <v>4672.8999999999996</v>
      </c>
      <c r="G97" s="2">
        <v>-132710.32999999999</v>
      </c>
    </row>
    <row r="98" spans="1:7" x14ac:dyDescent="0.2">
      <c r="A98" s="1">
        <v>244315</v>
      </c>
      <c r="B98" t="s">
        <v>18</v>
      </c>
      <c r="C98" t="s">
        <v>135</v>
      </c>
      <c r="D98" t="s">
        <v>112</v>
      </c>
      <c r="E98" s="2">
        <v>28037.38</v>
      </c>
      <c r="G98" s="2">
        <v>-104672.95</v>
      </c>
    </row>
    <row r="99" spans="1:7" x14ac:dyDescent="0.2">
      <c r="A99" s="1">
        <v>244315</v>
      </c>
      <c r="B99" t="s">
        <v>18</v>
      </c>
      <c r="C99" t="s">
        <v>135</v>
      </c>
      <c r="D99" t="s">
        <v>136</v>
      </c>
      <c r="F99" s="2">
        <v>2803.74</v>
      </c>
      <c r="G99" s="2">
        <v>-107476.69</v>
      </c>
    </row>
    <row r="100" spans="1:7" x14ac:dyDescent="0.2">
      <c r="A100" s="1">
        <v>244315</v>
      </c>
      <c r="B100" t="s">
        <v>18</v>
      </c>
      <c r="C100" t="s">
        <v>135</v>
      </c>
      <c r="D100" t="s">
        <v>130</v>
      </c>
      <c r="E100" s="2">
        <v>4672.8999999999996</v>
      </c>
      <c r="G100" s="2">
        <v>-102803.79</v>
      </c>
    </row>
    <row r="101" spans="1:7" x14ac:dyDescent="0.2">
      <c r="A101" s="1">
        <v>244316</v>
      </c>
      <c r="B101" t="s">
        <v>60</v>
      </c>
      <c r="C101" t="s">
        <v>137</v>
      </c>
      <c r="D101" t="s">
        <v>138</v>
      </c>
      <c r="E101" s="2">
        <v>2803.74</v>
      </c>
      <c r="G101" s="2">
        <v>-100000.05</v>
      </c>
    </row>
    <row r="102" spans="1:7" x14ac:dyDescent="0.2">
      <c r="A102" s="1">
        <v>244316</v>
      </c>
      <c r="B102" t="s">
        <v>60</v>
      </c>
      <c r="C102" t="s">
        <v>137</v>
      </c>
      <c r="D102" t="s">
        <v>139</v>
      </c>
      <c r="E102" s="2">
        <v>4672.8999999999996</v>
      </c>
      <c r="G102" s="2">
        <v>-95327.15</v>
      </c>
    </row>
    <row r="103" spans="1:7" x14ac:dyDescent="0.2">
      <c r="A103" s="1">
        <v>244316</v>
      </c>
      <c r="B103" t="s">
        <v>18</v>
      </c>
      <c r="C103" t="s">
        <v>140</v>
      </c>
      <c r="D103" t="s">
        <v>141</v>
      </c>
      <c r="F103" s="2">
        <v>4672.8999999999996</v>
      </c>
      <c r="G103" s="2">
        <v>-100000.05</v>
      </c>
    </row>
    <row r="104" spans="1:7" x14ac:dyDescent="0.2">
      <c r="A104" s="1">
        <v>244317</v>
      </c>
      <c r="B104" t="s">
        <v>18</v>
      </c>
      <c r="C104" t="s">
        <v>142</v>
      </c>
      <c r="D104" t="s">
        <v>143</v>
      </c>
      <c r="F104" s="2">
        <v>4672.8999999999996</v>
      </c>
      <c r="G104" s="2">
        <v>-104672.95</v>
      </c>
    </row>
    <row r="105" spans="1:7" x14ac:dyDescent="0.2">
      <c r="A105" s="1">
        <v>244317</v>
      </c>
      <c r="B105" t="s">
        <v>18</v>
      </c>
      <c r="C105" t="s">
        <v>142</v>
      </c>
      <c r="D105" t="s">
        <v>144</v>
      </c>
      <c r="F105" s="2">
        <v>2803.74</v>
      </c>
      <c r="G105" s="2">
        <v>-107476.69</v>
      </c>
    </row>
    <row r="106" spans="1:7" x14ac:dyDescent="0.2">
      <c r="A106" s="1">
        <v>244317</v>
      </c>
      <c r="B106" t="s">
        <v>18</v>
      </c>
      <c r="C106" t="s">
        <v>142</v>
      </c>
      <c r="D106" t="s">
        <v>145</v>
      </c>
      <c r="F106" s="2">
        <v>4672.8999999999996</v>
      </c>
      <c r="G106" s="2">
        <v>-112149.59</v>
      </c>
    </row>
    <row r="107" spans="1:7" x14ac:dyDescent="0.2">
      <c r="A107" s="1">
        <v>244319</v>
      </c>
      <c r="B107" t="s">
        <v>18</v>
      </c>
      <c r="C107" t="s">
        <v>146</v>
      </c>
      <c r="D107" t="s">
        <v>147</v>
      </c>
      <c r="E107" s="2">
        <v>3000</v>
      </c>
      <c r="G107" s="2">
        <v>-109149.59</v>
      </c>
    </row>
    <row r="108" spans="1:7" x14ac:dyDescent="0.2">
      <c r="A108" s="1">
        <v>244319</v>
      </c>
      <c r="B108" t="s">
        <v>18</v>
      </c>
      <c r="C108" t="s">
        <v>146</v>
      </c>
      <c r="D108" t="s">
        <v>148</v>
      </c>
      <c r="E108" s="2">
        <v>5000</v>
      </c>
      <c r="G108" s="2">
        <v>-104149.59</v>
      </c>
    </row>
    <row r="109" spans="1:7" x14ac:dyDescent="0.2">
      <c r="A109" s="1">
        <v>244319</v>
      </c>
      <c r="B109" t="s">
        <v>18</v>
      </c>
      <c r="C109" t="s">
        <v>146</v>
      </c>
      <c r="D109" t="s">
        <v>149</v>
      </c>
      <c r="E109" s="2">
        <v>10000</v>
      </c>
      <c r="G109" s="2">
        <v>-94149.59</v>
      </c>
    </row>
    <row r="110" spans="1:7" x14ac:dyDescent="0.2">
      <c r="A110" s="1">
        <v>244319</v>
      </c>
      <c r="B110" t="s">
        <v>18</v>
      </c>
      <c r="C110" t="s">
        <v>146</v>
      </c>
      <c r="D110" t="s">
        <v>149</v>
      </c>
      <c r="E110" s="2">
        <v>2000</v>
      </c>
      <c r="G110" s="2">
        <v>-92149.59</v>
      </c>
    </row>
    <row r="111" spans="1:7" x14ac:dyDescent="0.2">
      <c r="A111" s="1">
        <v>244320</v>
      </c>
      <c r="B111" t="s">
        <v>18</v>
      </c>
      <c r="C111" t="s">
        <v>150</v>
      </c>
      <c r="D111" t="s">
        <v>151</v>
      </c>
      <c r="F111" s="2">
        <v>5000</v>
      </c>
      <c r="G111" s="2">
        <v>-97149.59</v>
      </c>
    </row>
    <row r="112" spans="1:7" x14ac:dyDescent="0.2">
      <c r="A112" s="1">
        <v>244320</v>
      </c>
      <c r="B112" t="s">
        <v>18</v>
      </c>
      <c r="C112" t="s">
        <v>150</v>
      </c>
      <c r="D112" t="s">
        <v>152</v>
      </c>
      <c r="F112" s="2">
        <v>10000</v>
      </c>
      <c r="G112" s="2">
        <v>-107149.59</v>
      </c>
    </row>
    <row r="113" spans="1:7" x14ac:dyDescent="0.2">
      <c r="A113" s="1">
        <v>244321</v>
      </c>
      <c r="B113" t="s">
        <v>18</v>
      </c>
      <c r="C113" t="s">
        <v>153</v>
      </c>
      <c r="D113" t="s">
        <v>154</v>
      </c>
      <c r="F113" s="2">
        <v>2000</v>
      </c>
      <c r="G113" s="2">
        <v>-109149.59</v>
      </c>
    </row>
    <row r="114" spans="1:7" x14ac:dyDescent="0.2">
      <c r="A114" s="1">
        <v>244321</v>
      </c>
      <c r="B114" t="s">
        <v>18</v>
      </c>
      <c r="C114" t="s">
        <v>153</v>
      </c>
      <c r="D114" t="s">
        <v>155</v>
      </c>
      <c r="F114" s="2">
        <v>5000</v>
      </c>
      <c r="G114" s="2">
        <v>-114149.59</v>
      </c>
    </row>
    <row r="115" spans="1:7" x14ac:dyDescent="0.2">
      <c r="A115" s="1">
        <v>244321</v>
      </c>
      <c r="B115" t="s">
        <v>18</v>
      </c>
      <c r="C115" t="s">
        <v>153</v>
      </c>
      <c r="D115" t="s">
        <v>156</v>
      </c>
      <c r="F115" s="2">
        <v>3000</v>
      </c>
      <c r="G115" s="2">
        <v>-117149.59</v>
      </c>
    </row>
    <row r="116" spans="1:7" x14ac:dyDescent="0.2">
      <c r="A116" s="1">
        <v>244321</v>
      </c>
      <c r="B116" t="s">
        <v>18</v>
      </c>
      <c r="C116" t="s">
        <v>153</v>
      </c>
      <c r="D116" t="s">
        <v>157</v>
      </c>
      <c r="F116" s="2">
        <v>2000</v>
      </c>
      <c r="G116" s="2">
        <v>-119149.59</v>
      </c>
    </row>
    <row r="117" spans="1:7" x14ac:dyDescent="0.2">
      <c r="A117" s="1">
        <v>244322</v>
      </c>
      <c r="B117" t="s">
        <v>18</v>
      </c>
      <c r="C117" t="s">
        <v>158</v>
      </c>
      <c r="D117" t="s">
        <v>159</v>
      </c>
      <c r="F117" s="2">
        <v>3000</v>
      </c>
      <c r="G117" s="2">
        <v>-122149.59</v>
      </c>
    </row>
    <row r="118" spans="1:7" x14ac:dyDescent="0.2">
      <c r="A118" s="1">
        <v>244322</v>
      </c>
      <c r="B118" t="s">
        <v>18</v>
      </c>
      <c r="C118" t="s">
        <v>158</v>
      </c>
      <c r="D118" t="s">
        <v>160</v>
      </c>
      <c r="F118" s="2">
        <v>3000</v>
      </c>
      <c r="G118" s="2">
        <v>-125149.59</v>
      </c>
    </row>
    <row r="119" spans="1:7" x14ac:dyDescent="0.2">
      <c r="A119" s="1">
        <v>244322</v>
      </c>
      <c r="B119" t="s">
        <v>18</v>
      </c>
      <c r="C119" t="s">
        <v>158</v>
      </c>
      <c r="D119" t="s">
        <v>161</v>
      </c>
      <c r="F119" s="2">
        <v>1000</v>
      </c>
      <c r="G119" s="2">
        <v>-126149.59</v>
      </c>
    </row>
    <row r="120" spans="1:7" x14ac:dyDescent="0.2">
      <c r="A120" s="1">
        <v>244322</v>
      </c>
      <c r="B120" t="s">
        <v>18</v>
      </c>
      <c r="C120" t="s">
        <v>158</v>
      </c>
      <c r="D120" t="s">
        <v>162</v>
      </c>
      <c r="F120" s="2">
        <v>3000</v>
      </c>
      <c r="G120" s="2">
        <v>-129149.59</v>
      </c>
    </row>
    <row r="121" spans="1:7" x14ac:dyDescent="0.2">
      <c r="A121" s="1">
        <v>244322</v>
      </c>
      <c r="B121" t="s">
        <v>18</v>
      </c>
      <c r="C121" t="s">
        <v>158</v>
      </c>
      <c r="D121" t="s">
        <v>163</v>
      </c>
      <c r="E121" s="2">
        <v>5000</v>
      </c>
      <c r="G121" s="2">
        <v>-124149.59</v>
      </c>
    </row>
    <row r="122" spans="1:7" x14ac:dyDescent="0.2">
      <c r="A122" s="1">
        <v>244322</v>
      </c>
      <c r="B122" t="s">
        <v>18</v>
      </c>
      <c r="C122" t="s">
        <v>158</v>
      </c>
      <c r="D122" t="s">
        <v>164</v>
      </c>
      <c r="E122" s="2">
        <v>6000</v>
      </c>
      <c r="G122" s="2">
        <v>-118149.59</v>
      </c>
    </row>
    <row r="123" spans="1:7" x14ac:dyDescent="0.2">
      <c r="A123" s="1">
        <v>244323</v>
      </c>
      <c r="B123" t="s">
        <v>18</v>
      </c>
      <c r="C123" t="s">
        <v>165</v>
      </c>
      <c r="D123" t="s">
        <v>166</v>
      </c>
      <c r="F123" s="2">
        <v>4000</v>
      </c>
      <c r="G123" s="2">
        <v>-122149.59</v>
      </c>
    </row>
    <row r="124" spans="1:7" x14ac:dyDescent="0.2">
      <c r="A124" s="1">
        <v>244323</v>
      </c>
      <c r="B124" t="s">
        <v>18</v>
      </c>
      <c r="C124" t="s">
        <v>165</v>
      </c>
      <c r="D124" t="s">
        <v>167</v>
      </c>
      <c r="F124" s="2">
        <v>134900</v>
      </c>
      <c r="G124" s="2">
        <v>-257049.59</v>
      </c>
    </row>
    <row r="125" spans="1:7" x14ac:dyDescent="0.2">
      <c r="A125" s="1">
        <v>244324</v>
      </c>
      <c r="B125" t="s">
        <v>18</v>
      </c>
      <c r="C125" t="s">
        <v>168</v>
      </c>
      <c r="D125" t="s">
        <v>169</v>
      </c>
      <c r="E125" s="2">
        <v>5000</v>
      </c>
      <c r="G125" s="2">
        <v>-252049.59</v>
      </c>
    </row>
    <row r="126" spans="1:7" x14ac:dyDescent="0.2">
      <c r="A126" s="1">
        <v>244324</v>
      </c>
      <c r="B126" t="s">
        <v>18</v>
      </c>
      <c r="C126" t="s">
        <v>168</v>
      </c>
      <c r="D126" t="s">
        <v>167</v>
      </c>
      <c r="E126" s="2">
        <v>134900</v>
      </c>
      <c r="G126" s="2">
        <v>-117149.59</v>
      </c>
    </row>
    <row r="127" spans="1:7" x14ac:dyDescent="0.2">
      <c r="A127" s="1">
        <v>244324</v>
      </c>
      <c r="B127" t="s">
        <v>18</v>
      </c>
      <c r="C127" t="s">
        <v>168</v>
      </c>
      <c r="D127" t="s">
        <v>170</v>
      </c>
      <c r="F127" s="2">
        <v>3000</v>
      </c>
      <c r="G127" s="2">
        <v>-120149.59</v>
      </c>
    </row>
    <row r="128" spans="1:7" x14ac:dyDescent="0.2">
      <c r="A128" s="1">
        <v>244324</v>
      </c>
      <c r="B128" t="s">
        <v>18</v>
      </c>
      <c r="C128" t="s">
        <v>168</v>
      </c>
      <c r="D128" t="s">
        <v>171</v>
      </c>
      <c r="F128" s="2">
        <v>1000</v>
      </c>
      <c r="G128" s="2">
        <v>-121149.59</v>
      </c>
    </row>
    <row r="129" spans="1:7" x14ac:dyDescent="0.2">
      <c r="A129" s="1">
        <v>244324</v>
      </c>
      <c r="B129" t="s">
        <v>18</v>
      </c>
      <c r="C129" t="s">
        <v>168</v>
      </c>
      <c r="D129" t="s">
        <v>172</v>
      </c>
      <c r="F129" s="2">
        <v>3000</v>
      </c>
      <c r="G129" s="2">
        <v>-124149.59</v>
      </c>
    </row>
    <row r="130" spans="1:7" x14ac:dyDescent="0.2">
      <c r="A130" s="1">
        <v>244326</v>
      </c>
      <c r="B130" t="s">
        <v>18</v>
      </c>
      <c r="C130" t="s">
        <v>173</v>
      </c>
      <c r="D130" t="s">
        <v>174</v>
      </c>
      <c r="F130" s="2">
        <v>3000</v>
      </c>
      <c r="G130" s="2">
        <v>-127149.59</v>
      </c>
    </row>
    <row r="131" spans="1:7" x14ac:dyDescent="0.2">
      <c r="A131" s="1">
        <v>244326</v>
      </c>
      <c r="B131" t="s">
        <v>18</v>
      </c>
      <c r="C131" t="s">
        <v>173</v>
      </c>
      <c r="D131" t="s">
        <v>175</v>
      </c>
      <c r="F131" s="2">
        <v>2000</v>
      </c>
      <c r="G131" s="2">
        <v>-129149.59</v>
      </c>
    </row>
    <row r="132" spans="1:7" x14ac:dyDescent="0.2">
      <c r="A132" s="1">
        <v>244326</v>
      </c>
      <c r="B132" t="s">
        <v>18</v>
      </c>
      <c r="C132" t="s">
        <v>173</v>
      </c>
      <c r="D132" t="s">
        <v>174</v>
      </c>
      <c r="E132" s="2">
        <v>3000</v>
      </c>
      <c r="G132" s="2">
        <v>-126149.59</v>
      </c>
    </row>
    <row r="133" spans="1:7" x14ac:dyDescent="0.2">
      <c r="A133" s="1">
        <v>244327</v>
      </c>
      <c r="B133" t="s">
        <v>18</v>
      </c>
      <c r="C133" t="s">
        <v>176</v>
      </c>
      <c r="D133" t="s">
        <v>136</v>
      </c>
      <c r="E133" s="2">
        <v>3000</v>
      </c>
      <c r="G133" s="2">
        <v>-123149.59</v>
      </c>
    </row>
    <row r="134" spans="1:7" x14ac:dyDescent="0.2">
      <c r="A134" s="1">
        <v>244327</v>
      </c>
      <c r="B134" t="s">
        <v>18</v>
      </c>
      <c r="C134" t="s">
        <v>177</v>
      </c>
      <c r="D134" t="s">
        <v>178</v>
      </c>
      <c r="F134" s="2">
        <v>3000</v>
      </c>
      <c r="G134" s="2">
        <v>-126149.59</v>
      </c>
    </row>
    <row r="135" spans="1:7" x14ac:dyDescent="0.2">
      <c r="A135" s="1">
        <v>244327</v>
      </c>
      <c r="B135" t="s">
        <v>18</v>
      </c>
      <c r="C135" t="s">
        <v>177</v>
      </c>
      <c r="D135" t="s">
        <v>179</v>
      </c>
      <c r="F135" s="2">
        <v>33000</v>
      </c>
      <c r="G135" s="2">
        <v>-159149.59</v>
      </c>
    </row>
    <row r="136" spans="1:7" x14ac:dyDescent="0.2">
      <c r="A136" s="1">
        <v>244327</v>
      </c>
      <c r="B136" t="s">
        <v>18</v>
      </c>
      <c r="C136" t="s">
        <v>177</v>
      </c>
      <c r="D136" t="s">
        <v>180</v>
      </c>
      <c r="F136" s="2">
        <v>3000</v>
      </c>
      <c r="G136" s="2">
        <v>-162149.59</v>
      </c>
    </row>
    <row r="137" spans="1:7" x14ac:dyDescent="0.2">
      <c r="A137" s="1">
        <v>244327</v>
      </c>
      <c r="B137" t="s">
        <v>18</v>
      </c>
      <c r="C137" t="s">
        <v>177</v>
      </c>
      <c r="D137" t="s">
        <v>181</v>
      </c>
      <c r="F137" s="2">
        <v>30000</v>
      </c>
      <c r="G137" s="2">
        <v>-192149.59</v>
      </c>
    </row>
    <row r="138" spans="1:7" x14ac:dyDescent="0.2">
      <c r="A138" s="1">
        <v>244327</v>
      </c>
      <c r="B138" t="s">
        <v>18</v>
      </c>
      <c r="C138" t="s">
        <v>177</v>
      </c>
      <c r="D138" t="s">
        <v>182</v>
      </c>
      <c r="F138" s="2">
        <v>1000</v>
      </c>
      <c r="G138" s="2">
        <v>-193149.59</v>
      </c>
    </row>
    <row r="139" spans="1:7" x14ac:dyDescent="0.2">
      <c r="A139" s="1">
        <v>244328</v>
      </c>
      <c r="B139" t="s">
        <v>18</v>
      </c>
      <c r="C139" t="s">
        <v>183</v>
      </c>
      <c r="D139" t="s">
        <v>184</v>
      </c>
      <c r="F139" s="2">
        <v>5000</v>
      </c>
      <c r="G139" s="2">
        <v>-198149.59</v>
      </c>
    </row>
    <row r="140" spans="1:7" x14ac:dyDescent="0.2">
      <c r="A140" s="1">
        <v>244328</v>
      </c>
      <c r="B140" t="s">
        <v>18</v>
      </c>
      <c r="C140" t="s">
        <v>183</v>
      </c>
      <c r="D140" t="s">
        <v>185</v>
      </c>
      <c r="E140" s="2">
        <v>3000</v>
      </c>
      <c r="G140" s="2">
        <v>-195149.59</v>
      </c>
    </row>
    <row r="141" spans="1:7" x14ac:dyDescent="0.2">
      <c r="A141" s="1">
        <v>244328</v>
      </c>
      <c r="B141" t="s">
        <v>18</v>
      </c>
      <c r="C141" t="s">
        <v>183</v>
      </c>
      <c r="D141" t="s">
        <v>186</v>
      </c>
      <c r="E141" s="2">
        <v>1000</v>
      </c>
      <c r="G141" s="2">
        <v>-194149.59</v>
      </c>
    </row>
    <row r="142" spans="1:7" x14ac:dyDescent="0.2">
      <c r="A142" s="1">
        <v>244329</v>
      </c>
      <c r="B142" t="s">
        <v>18</v>
      </c>
      <c r="C142" t="s">
        <v>187</v>
      </c>
      <c r="D142" t="s">
        <v>188</v>
      </c>
      <c r="F142" s="2">
        <v>3000</v>
      </c>
      <c r="G142" s="2">
        <v>-197149.59</v>
      </c>
    </row>
    <row r="143" spans="1:7" x14ac:dyDescent="0.2">
      <c r="A143" s="1">
        <v>244329</v>
      </c>
      <c r="B143" t="s">
        <v>18</v>
      </c>
      <c r="C143" t="s">
        <v>187</v>
      </c>
      <c r="D143" t="s">
        <v>189</v>
      </c>
      <c r="F143" s="2">
        <v>3000</v>
      </c>
      <c r="G143" s="2">
        <v>-200149.59</v>
      </c>
    </row>
    <row r="144" spans="1:7" x14ac:dyDescent="0.2">
      <c r="A144" s="1">
        <v>244329</v>
      </c>
      <c r="B144" t="s">
        <v>18</v>
      </c>
      <c r="C144" t="s">
        <v>187</v>
      </c>
      <c r="D144" t="s">
        <v>190</v>
      </c>
      <c r="F144" s="2">
        <v>10000</v>
      </c>
      <c r="G144" s="2">
        <v>-210149.59</v>
      </c>
    </row>
    <row r="145" spans="1:7" x14ac:dyDescent="0.2">
      <c r="A145" s="1">
        <v>244329</v>
      </c>
      <c r="B145" t="s">
        <v>18</v>
      </c>
      <c r="C145" t="s">
        <v>187</v>
      </c>
      <c r="D145" t="s">
        <v>191</v>
      </c>
      <c r="F145" s="2">
        <v>1000</v>
      </c>
      <c r="G145" s="2">
        <v>-211149.59</v>
      </c>
    </row>
    <row r="146" spans="1:7" x14ac:dyDescent="0.2">
      <c r="A146" s="1">
        <v>244330</v>
      </c>
      <c r="B146" t="s">
        <v>18</v>
      </c>
      <c r="C146" t="s">
        <v>192</v>
      </c>
      <c r="D146" t="s">
        <v>193</v>
      </c>
      <c r="F146" s="2">
        <v>1000</v>
      </c>
      <c r="G146" s="2">
        <v>-212149.59</v>
      </c>
    </row>
    <row r="147" spans="1:7" x14ac:dyDescent="0.2">
      <c r="A147" s="1">
        <v>244330</v>
      </c>
      <c r="B147" t="s">
        <v>18</v>
      </c>
      <c r="C147" t="s">
        <v>192</v>
      </c>
      <c r="D147" t="s">
        <v>194</v>
      </c>
      <c r="F147" s="2">
        <v>3000</v>
      </c>
      <c r="G147" s="2">
        <v>-215149.59</v>
      </c>
    </row>
    <row r="148" spans="1:7" x14ac:dyDescent="0.2">
      <c r="A148" s="1">
        <v>244330</v>
      </c>
      <c r="B148" t="s">
        <v>18</v>
      </c>
      <c r="C148" t="s">
        <v>192</v>
      </c>
      <c r="D148" t="s">
        <v>195</v>
      </c>
      <c r="F148" s="2">
        <v>5000</v>
      </c>
      <c r="G148" s="2">
        <v>-220149.59</v>
      </c>
    </row>
    <row r="149" spans="1:7" x14ac:dyDescent="0.2">
      <c r="A149" s="1">
        <v>244330</v>
      </c>
      <c r="B149" t="s">
        <v>18</v>
      </c>
      <c r="C149" t="s">
        <v>192</v>
      </c>
      <c r="D149" t="s">
        <v>196</v>
      </c>
      <c r="F149" s="2">
        <v>3000</v>
      </c>
      <c r="G149" s="2">
        <v>-223149.59</v>
      </c>
    </row>
    <row r="150" spans="1:7" x14ac:dyDescent="0.2">
      <c r="A150" s="1">
        <v>244330</v>
      </c>
      <c r="B150" t="s">
        <v>18</v>
      </c>
      <c r="C150" t="s">
        <v>192</v>
      </c>
      <c r="D150" t="s">
        <v>197</v>
      </c>
      <c r="F150" s="2">
        <v>9900</v>
      </c>
      <c r="G150" s="2">
        <v>-233049.59</v>
      </c>
    </row>
    <row r="151" spans="1:7" x14ac:dyDescent="0.2">
      <c r="A151" s="1">
        <v>244330</v>
      </c>
      <c r="B151" t="s">
        <v>18</v>
      </c>
      <c r="C151" t="s">
        <v>192</v>
      </c>
      <c r="D151" t="s">
        <v>198</v>
      </c>
      <c r="F151" s="2">
        <v>3500</v>
      </c>
      <c r="G151" s="2">
        <v>-236549.59</v>
      </c>
    </row>
    <row r="152" spans="1:7" x14ac:dyDescent="0.2">
      <c r="A152" s="1">
        <v>244330</v>
      </c>
      <c r="B152" t="s">
        <v>18</v>
      </c>
      <c r="C152" t="s">
        <v>192</v>
      </c>
      <c r="D152" t="s">
        <v>199</v>
      </c>
      <c r="F152" s="2">
        <v>3000</v>
      </c>
      <c r="G152" s="2">
        <v>-239549.59</v>
      </c>
    </row>
    <row r="153" spans="1:7" x14ac:dyDescent="0.2">
      <c r="A153" s="1">
        <v>244331</v>
      </c>
      <c r="B153" t="s">
        <v>18</v>
      </c>
      <c r="C153" t="s">
        <v>200</v>
      </c>
      <c r="D153" t="s">
        <v>201</v>
      </c>
      <c r="E153" s="2">
        <v>9900</v>
      </c>
      <c r="G153" s="2">
        <v>-229649.59</v>
      </c>
    </row>
    <row r="154" spans="1:7" x14ac:dyDescent="0.2">
      <c r="A154" s="1">
        <v>244331</v>
      </c>
      <c r="B154" t="s">
        <v>18</v>
      </c>
      <c r="C154" t="s">
        <v>200</v>
      </c>
      <c r="D154" t="s">
        <v>202</v>
      </c>
      <c r="F154" s="2">
        <v>5000</v>
      </c>
      <c r="G154" s="2">
        <v>-234649.59</v>
      </c>
    </row>
    <row r="155" spans="1:7" x14ac:dyDescent="0.2">
      <c r="A155" s="1">
        <v>244333</v>
      </c>
      <c r="B155" t="s">
        <v>18</v>
      </c>
      <c r="C155" t="s">
        <v>203</v>
      </c>
      <c r="D155" t="s">
        <v>204</v>
      </c>
      <c r="F155" s="2">
        <v>2000</v>
      </c>
      <c r="G155" s="2">
        <v>-236649.59</v>
      </c>
    </row>
    <row r="156" spans="1:7" x14ac:dyDescent="0.2">
      <c r="A156" s="1">
        <v>244333</v>
      </c>
      <c r="B156" t="s">
        <v>18</v>
      </c>
      <c r="C156" t="s">
        <v>203</v>
      </c>
      <c r="D156" t="s">
        <v>205</v>
      </c>
      <c r="F156" s="2">
        <v>10000</v>
      </c>
      <c r="G156" s="2">
        <v>-246649.59</v>
      </c>
    </row>
    <row r="157" spans="1:7" x14ac:dyDescent="0.2">
      <c r="A157" s="1">
        <v>244333</v>
      </c>
      <c r="B157" t="s">
        <v>18</v>
      </c>
      <c r="C157" t="s">
        <v>203</v>
      </c>
      <c r="D157" t="s">
        <v>206</v>
      </c>
      <c r="F157" s="2">
        <v>30000</v>
      </c>
      <c r="G157" s="2">
        <v>-276649.59000000003</v>
      </c>
    </row>
    <row r="158" spans="1:7" x14ac:dyDescent="0.2">
      <c r="A158" s="1">
        <v>244333</v>
      </c>
      <c r="B158" t="s">
        <v>18</v>
      </c>
      <c r="C158" t="s">
        <v>203</v>
      </c>
      <c r="D158" t="s">
        <v>207</v>
      </c>
      <c r="F158" s="2">
        <v>3000</v>
      </c>
      <c r="G158" s="2">
        <v>-279649.59000000003</v>
      </c>
    </row>
    <row r="159" spans="1:7" x14ac:dyDescent="0.2">
      <c r="A159" s="1">
        <v>244333</v>
      </c>
      <c r="B159" t="s">
        <v>18</v>
      </c>
      <c r="C159" t="s">
        <v>203</v>
      </c>
      <c r="D159" t="s">
        <v>208</v>
      </c>
      <c r="F159" s="2">
        <v>5000</v>
      </c>
      <c r="G159" s="2">
        <v>-284649.59000000003</v>
      </c>
    </row>
    <row r="160" spans="1:7" x14ac:dyDescent="0.2">
      <c r="A160" s="1">
        <v>244333</v>
      </c>
      <c r="B160" t="s">
        <v>18</v>
      </c>
      <c r="C160" t="s">
        <v>203</v>
      </c>
      <c r="D160" t="s">
        <v>209</v>
      </c>
      <c r="E160" s="2">
        <v>3000</v>
      </c>
      <c r="G160" s="2">
        <v>-281649.59000000003</v>
      </c>
    </row>
    <row r="161" spans="1:7" x14ac:dyDescent="0.2">
      <c r="A161" s="1">
        <v>244334</v>
      </c>
      <c r="B161" t="s">
        <v>18</v>
      </c>
      <c r="C161" t="s">
        <v>210</v>
      </c>
      <c r="D161" t="s">
        <v>129</v>
      </c>
      <c r="E161" s="2">
        <v>5000</v>
      </c>
      <c r="G161" s="2">
        <v>-276649.59000000003</v>
      </c>
    </row>
    <row r="162" spans="1:7" x14ac:dyDescent="0.2">
      <c r="A162" s="1">
        <v>244334</v>
      </c>
      <c r="B162" t="s">
        <v>18</v>
      </c>
      <c r="C162" t="s">
        <v>211</v>
      </c>
      <c r="D162" t="s">
        <v>116</v>
      </c>
      <c r="E162" s="2">
        <v>5000</v>
      </c>
      <c r="G162" s="2">
        <v>-271649.59000000003</v>
      </c>
    </row>
    <row r="163" spans="1:7" x14ac:dyDescent="0.2">
      <c r="A163" s="1">
        <v>244334</v>
      </c>
      <c r="B163" t="s">
        <v>18</v>
      </c>
      <c r="C163" t="s">
        <v>212</v>
      </c>
      <c r="D163" t="s">
        <v>213</v>
      </c>
      <c r="E163" s="2">
        <v>3000</v>
      </c>
      <c r="G163" s="2">
        <v>-268649.59000000003</v>
      </c>
    </row>
    <row r="164" spans="1:7" x14ac:dyDescent="0.2">
      <c r="A164" s="1">
        <v>244334</v>
      </c>
      <c r="B164" t="s">
        <v>18</v>
      </c>
      <c r="C164" t="s">
        <v>214</v>
      </c>
      <c r="D164" t="s">
        <v>215</v>
      </c>
      <c r="F164" s="2">
        <v>3500</v>
      </c>
      <c r="G164" s="2">
        <v>-272149.59000000003</v>
      </c>
    </row>
    <row r="165" spans="1:7" x14ac:dyDescent="0.2">
      <c r="A165" s="1">
        <v>244334</v>
      </c>
      <c r="B165" t="s">
        <v>18</v>
      </c>
      <c r="C165" t="s">
        <v>214</v>
      </c>
      <c r="D165" t="s">
        <v>216</v>
      </c>
      <c r="F165" s="2">
        <v>3000</v>
      </c>
      <c r="G165" s="2">
        <v>-275149.59000000003</v>
      </c>
    </row>
    <row r="166" spans="1:7" x14ac:dyDescent="0.2">
      <c r="A166" s="1">
        <v>244334</v>
      </c>
      <c r="B166" t="s">
        <v>18</v>
      </c>
      <c r="C166" t="s">
        <v>214</v>
      </c>
      <c r="D166" t="s">
        <v>217</v>
      </c>
      <c r="F166" s="2">
        <v>1000</v>
      </c>
      <c r="G166" s="2">
        <v>-276149.59000000003</v>
      </c>
    </row>
    <row r="167" spans="1:7" x14ac:dyDescent="0.2">
      <c r="A167" s="1">
        <v>244334</v>
      </c>
      <c r="B167" t="s">
        <v>18</v>
      </c>
      <c r="C167" t="s">
        <v>214</v>
      </c>
      <c r="D167" t="s">
        <v>218</v>
      </c>
      <c r="F167" s="2">
        <v>3000</v>
      </c>
      <c r="G167" s="2">
        <v>-279149.59000000003</v>
      </c>
    </row>
    <row r="168" spans="1:7" x14ac:dyDescent="0.2">
      <c r="A168" s="1">
        <v>244334</v>
      </c>
      <c r="B168" t="s">
        <v>18</v>
      </c>
      <c r="C168" t="s">
        <v>214</v>
      </c>
      <c r="D168" t="s">
        <v>219</v>
      </c>
      <c r="F168" s="2">
        <v>3000</v>
      </c>
      <c r="G168" s="2">
        <v>-282149.59000000003</v>
      </c>
    </row>
    <row r="169" spans="1:7" x14ac:dyDescent="0.2">
      <c r="A169" s="1">
        <v>244335</v>
      </c>
      <c r="B169" t="s">
        <v>18</v>
      </c>
      <c r="C169" t="s">
        <v>220</v>
      </c>
      <c r="D169" t="s">
        <v>221</v>
      </c>
      <c r="F169" s="2">
        <v>3000</v>
      </c>
      <c r="G169" s="2">
        <v>-285149.59000000003</v>
      </c>
    </row>
    <row r="170" spans="1:7" x14ac:dyDescent="0.2">
      <c r="A170" s="1">
        <v>244335</v>
      </c>
      <c r="B170" t="s">
        <v>18</v>
      </c>
      <c r="C170" t="s">
        <v>220</v>
      </c>
      <c r="D170" t="s">
        <v>222</v>
      </c>
      <c r="F170" s="2">
        <v>3000</v>
      </c>
      <c r="G170" s="2">
        <v>-288149.59000000003</v>
      </c>
    </row>
    <row r="171" spans="1:7" x14ac:dyDescent="0.2">
      <c r="A171" s="1">
        <v>244335</v>
      </c>
      <c r="B171" t="s">
        <v>18</v>
      </c>
      <c r="C171" t="s">
        <v>220</v>
      </c>
      <c r="D171" t="s">
        <v>223</v>
      </c>
      <c r="E171" s="2">
        <v>3500</v>
      </c>
      <c r="G171" s="2">
        <v>-284649.59000000003</v>
      </c>
    </row>
    <row r="172" spans="1:7" x14ac:dyDescent="0.2">
      <c r="A172" s="1">
        <v>244335</v>
      </c>
      <c r="B172" t="s">
        <v>18</v>
      </c>
      <c r="C172" t="s">
        <v>220</v>
      </c>
      <c r="D172" t="s">
        <v>224</v>
      </c>
      <c r="E172" s="2">
        <v>10000</v>
      </c>
      <c r="G172" s="2">
        <v>-274649.59000000003</v>
      </c>
    </row>
    <row r="173" spans="1:7" x14ac:dyDescent="0.2">
      <c r="A173" s="1">
        <v>244336</v>
      </c>
      <c r="B173" t="s">
        <v>18</v>
      </c>
      <c r="C173" t="s">
        <v>225</v>
      </c>
      <c r="D173" t="s">
        <v>226</v>
      </c>
      <c r="E173" s="2">
        <v>28037.38</v>
      </c>
      <c r="G173" s="2">
        <v>-246612.21</v>
      </c>
    </row>
    <row r="174" spans="1:7" x14ac:dyDescent="0.2">
      <c r="A174" s="1">
        <v>244336</v>
      </c>
      <c r="B174" t="s">
        <v>18</v>
      </c>
      <c r="C174" t="s">
        <v>227</v>
      </c>
      <c r="D174" t="s">
        <v>228</v>
      </c>
      <c r="E174" s="2">
        <v>1000</v>
      </c>
      <c r="G174" s="2">
        <v>-245612.21</v>
      </c>
    </row>
    <row r="175" spans="1:7" x14ac:dyDescent="0.2">
      <c r="A175" s="1">
        <v>244336</v>
      </c>
      <c r="B175" t="s">
        <v>18</v>
      </c>
      <c r="C175" t="s">
        <v>229</v>
      </c>
      <c r="D175" t="s">
        <v>230</v>
      </c>
      <c r="F175" s="2">
        <v>3000</v>
      </c>
      <c r="G175" s="2">
        <v>-248612.21</v>
      </c>
    </row>
    <row r="176" spans="1:7" x14ac:dyDescent="0.2">
      <c r="A176" s="1">
        <v>244336</v>
      </c>
      <c r="B176" t="s">
        <v>18</v>
      </c>
      <c r="C176" t="s">
        <v>229</v>
      </c>
      <c r="D176" t="s">
        <v>231</v>
      </c>
      <c r="E176" s="2">
        <v>2000</v>
      </c>
      <c r="G176" s="2">
        <v>-246612.21</v>
      </c>
    </row>
    <row r="177" spans="1:7" x14ac:dyDescent="0.2">
      <c r="A177" s="1">
        <v>244336</v>
      </c>
      <c r="B177" t="s">
        <v>18</v>
      </c>
      <c r="C177" t="s">
        <v>229</v>
      </c>
      <c r="D177" t="s">
        <v>232</v>
      </c>
      <c r="E177" s="2">
        <v>1000</v>
      </c>
      <c r="G177" s="2">
        <v>-245612.21</v>
      </c>
    </row>
    <row r="178" spans="1:7" x14ac:dyDescent="0.2">
      <c r="A178" s="1">
        <v>244336</v>
      </c>
      <c r="B178" t="s">
        <v>18</v>
      </c>
      <c r="C178" t="s">
        <v>229</v>
      </c>
      <c r="D178" t="s">
        <v>233</v>
      </c>
      <c r="E178" s="2">
        <v>5000</v>
      </c>
      <c r="G178" s="2">
        <v>-240612.21</v>
      </c>
    </row>
    <row r="179" spans="1:7" x14ac:dyDescent="0.2">
      <c r="A179" s="1">
        <v>244337</v>
      </c>
      <c r="B179" t="s">
        <v>18</v>
      </c>
      <c r="C179" t="s">
        <v>234</v>
      </c>
      <c r="D179" t="s">
        <v>235</v>
      </c>
      <c r="E179" s="2">
        <v>30841.119999999999</v>
      </c>
      <c r="G179" s="2">
        <v>-209771.09</v>
      </c>
    </row>
    <row r="180" spans="1:7" x14ac:dyDescent="0.2">
      <c r="A180" s="1">
        <v>244337</v>
      </c>
      <c r="B180" t="s">
        <v>18</v>
      </c>
      <c r="C180" t="s">
        <v>236</v>
      </c>
      <c r="D180" t="s">
        <v>237</v>
      </c>
      <c r="E180" s="2">
        <v>2803.74</v>
      </c>
      <c r="G180" s="2">
        <v>-206967.35</v>
      </c>
    </row>
    <row r="181" spans="1:7" x14ac:dyDescent="0.2">
      <c r="A181" s="1">
        <v>244337</v>
      </c>
      <c r="B181" t="s">
        <v>18</v>
      </c>
      <c r="C181" t="s">
        <v>238</v>
      </c>
      <c r="D181" t="s">
        <v>120</v>
      </c>
      <c r="E181" s="2">
        <v>3000</v>
      </c>
      <c r="G181" s="2">
        <v>-203967.35</v>
      </c>
    </row>
    <row r="182" spans="1:7" x14ac:dyDescent="0.2">
      <c r="A182" s="1">
        <v>244337</v>
      </c>
      <c r="B182" t="s">
        <v>18</v>
      </c>
      <c r="C182" t="s">
        <v>239</v>
      </c>
      <c r="D182" t="s">
        <v>240</v>
      </c>
      <c r="E182" s="2">
        <v>2000</v>
      </c>
      <c r="G182" s="2">
        <v>-201967.35</v>
      </c>
    </row>
    <row r="183" spans="1:7" x14ac:dyDescent="0.2">
      <c r="A183" s="1">
        <v>244337</v>
      </c>
      <c r="B183" t="s">
        <v>18</v>
      </c>
      <c r="C183" t="s">
        <v>241</v>
      </c>
      <c r="D183" t="s">
        <v>242</v>
      </c>
      <c r="E183" s="2">
        <v>10000</v>
      </c>
      <c r="G183" s="2">
        <v>-191967.35</v>
      </c>
    </row>
    <row r="184" spans="1:7" x14ac:dyDescent="0.2">
      <c r="A184" s="1">
        <v>244337</v>
      </c>
      <c r="B184" t="s">
        <v>18</v>
      </c>
      <c r="C184" t="s">
        <v>243</v>
      </c>
      <c r="D184" t="s">
        <v>244</v>
      </c>
      <c r="E184" s="2">
        <v>4000</v>
      </c>
      <c r="G184" s="2">
        <v>-187967.35</v>
      </c>
    </row>
    <row r="185" spans="1:7" x14ac:dyDescent="0.2">
      <c r="A185" s="1">
        <v>244337</v>
      </c>
      <c r="B185" t="s">
        <v>18</v>
      </c>
      <c r="C185" t="s">
        <v>245</v>
      </c>
      <c r="D185" t="s">
        <v>246</v>
      </c>
      <c r="F185" s="2">
        <v>10000</v>
      </c>
      <c r="G185" s="2">
        <v>-197967.35</v>
      </c>
    </row>
    <row r="186" spans="1:7" x14ac:dyDescent="0.2">
      <c r="A186" s="1">
        <v>244337</v>
      </c>
      <c r="B186" t="s">
        <v>18</v>
      </c>
      <c r="C186" t="s">
        <v>245</v>
      </c>
      <c r="D186" t="s">
        <v>247</v>
      </c>
      <c r="F186" s="2">
        <v>33000</v>
      </c>
      <c r="G186" s="2">
        <v>-230967.35</v>
      </c>
    </row>
    <row r="187" spans="1:7" x14ac:dyDescent="0.2">
      <c r="A187" s="1">
        <v>244337</v>
      </c>
      <c r="B187" t="s">
        <v>18</v>
      </c>
      <c r="C187" t="s">
        <v>245</v>
      </c>
      <c r="D187" t="s">
        <v>248</v>
      </c>
      <c r="F187" s="2">
        <v>13000</v>
      </c>
      <c r="G187" s="2">
        <v>-243967.35</v>
      </c>
    </row>
    <row r="188" spans="1:7" x14ac:dyDescent="0.2">
      <c r="A188" s="1">
        <v>244337</v>
      </c>
      <c r="B188" t="s">
        <v>18</v>
      </c>
      <c r="C188" t="s">
        <v>245</v>
      </c>
      <c r="D188" t="s">
        <v>249</v>
      </c>
      <c r="F188" s="2">
        <v>3000</v>
      </c>
      <c r="G188" s="2">
        <v>-246967.35</v>
      </c>
    </row>
    <row r="189" spans="1:7" x14ac:dyDescent="0.2">
      <c r="A189" s="1">
        <v>244337</v>
      </c>
      <c r="B189" t="s">
        <v>18</v>
      </c>
      <c r="C189" t="s">
        <v>245</v>
      </c>
      <c r="D189" t="s">
        <v>250</v>
      </c>
      <c r="F189" s="2">
        <v>5000</v>
      </c>
      <c r="G189" s="2">
        <v>-251967.35</v>
      </c>
    </row>
    <row r="190" spans="1:7" x14ac:dyDescent="0.2">
      <c r="A190" s="1">
        <v>244337</v>
      </c>
      <c r="B190" t="s">
        <v>18</v>
      </c>
      <c r="C190" t="s">
        <v>245</v>
      </c>
      <c r="D190" t="s">
        <v>251</v>
      </c>
      <c r="F190" s="2">
        <v>3000</v>
      </c>
      <c r="G190" s="2">
        <v>-254967.35</v>
      </c>
    </row>
    <row r="191" spans="1:7" x14ac:dyDescent="0.2">
      <c r="A191" s="1">
        <v>244337</v>
      </c>
      <c r="B191" t="s">
        <v>18</v>
      </c>
      <c r="C191" t="s">
        <v>245</v>
      </c>
      <c r="D191" t="s">
        <v>252</v>
      </c>
      <c r="F191" s="2">
        <v>1000</v>
      </c>
      <c r="G191" s="2">
        <v>-255967.35</v>
      </c>
    </row>
    <row r="192" spans="1:7" x14ac:dyDescent="0.2">
      <c r="A192" s="1">
        <v>244337</v>
      </c>
      <c r="B192" t="s">
        <v>18</v>
      </c>
      <c r="C192" t="s">
        <v>245</v>
      </c>
      <c r="D192" t="s">
        <v>253</v>
      </c>
      <c r="F192" s="2">
        <v>1000</v>
      </c>
      <c r="G192" s="2">
        <v>-256967.35</v>
      </c>
    </row>
    <row r="193" spans="1:7" x14ac:dyDescent="0.2">
      <c r="A193" s="1">
        <v>244337</v>
      </c>
      <c r="B193" t="s">
        <v>18</v>
      </c>
      <c r="C193" t="s">
        <v>245</v>
      </c>
      <c r="D193" t="s">
        <v>254</v>
      </c>
      <c r="F193" s="2">
        <v>3000</v>
      </c>
      <c r="G193" s="2">
        <v>-259967.35</v>
      </c>
    </row>
    <row r="194" spans="1:7" x14ac:dyDescent="0.2">
      <c r="A194" s="1">
        <v>244337</v>
      </c>
      <c r="B194" t="s">
        <v>18</v>
      </c>
      <c r="C194" t="s">
        <v>245</v>
      </c>
      <c r="D194" t="s">
        <v>255</v>
      </c>
      <c r="F194" s="2">
        <v>1000</v>
      </c>
      <c r="G194" s="2">
        <v>-260967.35</v>
      </c>
    </row>
    <row r="195" spans="1:7" x14ac:dyDescent="0.2">
      <c r="A195" s="1">
        <v>244338</v>
      </c>
      <c r="B195" t="s">
        <v>60</v>
      </c>
      <c r="C195" t="s">
        <v>256</v>
      </c>
      <c r="D195" t="s">
        <v>257</v>
      </c>
      <c r="E195" s="2">
        <v>4672.8999999999996</v>
      </c>
      <c r="G195" s="2">
        <v>-256294.45</v>
      </c>
    </row>
    <row r="196" spans="1:7" x14ac:dyDescent="0.2">
      <c r="A196" s="1">
        <v>244338</v>
      </c>
      <c r="B196" t="s">
        <v>60</v>
      </c>
      <c r="C196" t="s">
        <v>256</v>
      </c>
      <c r="D196" t="s">
        <v>258</v>
      </c>
      <c r="E196" s="2">
        <v>4672.8999999999996</v>
      </c>
      <c r="G196" s="2">
        <v>-251621.55</v>
      </c>
    </row>
    <row r="197" spans="1:7" x14ac:dyDescent="0.2">
      <c r="A197" s="1">
        <v>244338</v>
      </c>
      <c r="B197" t="s">
        <v>60</v>
      </c>
      <c r="C197" t="s">
        <v>256</v>
      </c>
      <c r="D197" t="s">
        <v>259</v>
      </c>
      <c r="E197" s="2">
        <v>4672.8999999999996</v>
      </c>
      <c r="G197" s="2">
        <v>-246948.65</v>
      </c>
    </row>
    <row r="198" spans="1:7" x14ac:dyDescent="0.2">
      <c r="A198" s="1">
        <v>244338</v>
      </c>
      <c r="B198" t="s">
        <v>60</v>
      </c>
      <c r="C198" t="s">
        <v>256</v>
      </c>
      <c r="D198" t="s">
        <v>260</v>
      </c>
      <c r="E198" s="2">
        <v>1869.16</v>
      </c>
      <c r="G198" s="2">
        <v>-245079.49</v>
      </c>
    </row>
    <row r="199" spans="1:7" x14ac:dyDescent="0.2">
      <c r="A199" s="1">
        <v>244338</v>
      </c>
      <c r="B199" t="s">
        <v>60</v>
      </c>
      <c r="C199" t="s">
        <v>256</v>
      </c>
      <c r="D199" t="s">
        <v>261</v>
      </c>
      <c r="E199" s="2">
        <v>4672.8999999999996</v>
      </c>
      <c r="G199" s="2">
        <v>-240406.59</v>
      </c>
    </row>
    <row r="200" spans="1:7" x14ac:dyDescent="0.2">
      <c r="A200" s="1">
        <v>244338</v>
      </c>
      <c r="B200" t="s">
        <v>60</v>
      </c>
      <c r="C200" t="s">
        <v>256</v>
      </c>
      <c r="D200" t="s">
        <v>262</v>
      </c>
      <c r="E200" s="2">
        <v>2803.74</v>
      </c>
      <c r="G200" s="2">
        <v>-237602.85</v>
      </c>
    </row>
    <row r="201" spans="1:7" x14ac:dyDescent="0.2">
      <c r="A201" s="1">
        <v>244338</v>
      </c>
      <c r="B201" t="s">
        <v>60</v>
      </c>
      <c r="C201" t="s">
        <v>256</v>
      </c>
      <c r="D201" t="s">
        <v>263</v>
      </c>
      <c r="E201" s="2">
        <v>2803.74</v>
      </c>
      <c r="G201" s="2">
        <v>-234799.11</v>
      </c>
    </row>
    <row r="202" spans="1:7" x14ac:dyDescent="0.2">
      <c r="A202" s="1">
        <v>244338</v>
      </c>
      <c r="B202" t="s">
        <v>60</v>
      </c>
      <c r="C202" t="s">
        <v>256</v>
      </c>
      <c r="D202" t="s">
        <v>264</v>
      </c>
      <c r="E202" s="2">
        <v>2803.74</v>
      </c>
      <c r="G202" s="2">
        <v>-231995.37</v>
      </c>
    </row>
    <row r="203" spans="1:7" x14ac:dyDescent="0.2">
      <c r="A203" s="1">
        <v>244338</v>
      </c>
      <c r="B203" t="s">
        <v>60</v>
      </c>
      <c r="C203" t="s">
        <v>256</v>
      </c>
      <c r="D203" t="s">
        <v>265</v>
      </c>
      <c r="E203" s="2">
        <v>2803.74</v>
      </c>
      <c r="G203" s="2">
        <v>-229191.63</v>
      </c>
    </row>
    <row r="204" spans="1:7" x14ac:dyDescent="0.2">
      <c r="A204" s="1">
        <v>244338</v>
      </c>
      <c r="B204" t="s">
        <v>60</v>
      </c>
      <c r="C204" t="s">
        <v>256</v>
      </c>
      <c r="D204" t="s">
        <v>266</v>
      </c>
      <c r="E204" s="2">
        <v>2803.74</v>
      </c>
      <c r="G204" s="2">
        <v>-226387.89</v>
      </c>
    </row>
    <row r="205" spans="1:7" x14ac:dyDescent="0.2">
      <c r="A205" s="1">
        <v>244338</v>
      </c>
      <c r="B205" t="s">
        <v>60</v>
      </c>
      <c r="C205" t="s">
        <v>256</v>
      </c>
      <c r="D205" t="s">
        <v>267</v>
      </c>
      <c r="E205" s="2">
        <v>4672.8999999999996</v>
      </c>
      <c r="G205" s="2">
        <v>-221714.99</v>
      </c>
    </row>
    <row r="206" spans="1:7" x14ac:dyDescent="0.2">
      <c r="A206" s="1">
        <v>244338</v>
      </c>
      <c r="B206" t="s">
        <v>60</v>
      </c>
      <c r="C206" t="s">
        <v>256</v>
      </c>
      <c r="D206" t="s">
        <v>268</v>
      </c>
      <c r="E206" s="2">
        <v>4672.8999999999996</v>
      </c>
      <c r="G206" s="2">
        <v>-217042.09</v>
      </c>
    </row>
    <row r="207" spans="1:7" x14ac:dyDescent="0.2">
      <c r="A207" s="1">
        <v>244338</v>
      </c>
      <c r="B207" t="s">
        <v>18</v>
      </c>
      <c r="C207" t="s">
        <v>269</v>
      </c>
      <c r="D207" t="s">
        <v>270</v>
      </c>
      <c r="F207" s="2">
        <v>20000</v>
      </c>
      <c r="G207" s="2">
        <v>-237042.09</v>
      </c>
    </row>
    <row r="208" spans="1:7" x14ac:dyDescent="0.2">
      <c r="A208" s="1">
        <v>244338</v>
      </c>
      <c r="B208" t="s">
        <v>18</v>
      </c>
      <c r="C208" t="s">
        <v>269</v>
      </c>
      <c r="D208" t="s">
        <v>271</v>
      </c>
      <c r="F208" s="2">
        <v>10000</v>
      </c>
      <c r="G208" s="2">
        <v>-247042.09</v>
      </c>
    </row>
    <row r="209" spans="1:7" x14ac:dyDescent="0.2">
      <c r="A209" s="1">
        <v>244338</v>
      </c>
      <c r="B209" t="s">
        <v>18</v>
      </c>
      <c r="C209" t="s">
        <v>269</v>
      </c>
      <c r="D209" t="s">
        <v>272</v>
      </c>
      <c r="F209" s="2">
        <v>1000</v>
      </c>
      <c r="G209" s="2">
        <v>-248042.09</v>
      </c>
    </row>
    <row r="210" spans="1:7" x14ac:dyDescent="0.2">
      <c r="A210" s="1">
        <v>244338</v>
      </c>
      <c r="B210" t="s">
        <v>18</v>
      </c>
      <c r="C210" t="s">
        <v>269</v>
      </c>
      <c r="D210" t="s">
        <v>273</v>
      </c>
      <c r="F210" s="2">
        <v>3000</v>
      </c>
      <c r="G210" s="2">
        <v>-251042.09</v>
      </c>
    </row>
    <row r="211" spans="1:7" x14ac:dyDescent="0.2">
      <c r="A211" s="1">
        <v>244338</v>
      </c>
      <c r="B211" t="s">
        <v>18</v>
      </c>
      <c r="C211" t="s">
        <v>269</v>
      </c>
      <c r="D211" t="s">
        <v>274</v>
      </c>
      <c r="F211" s="2">
        <v>10000</v>
      </c>
      <c r="G211" s="2">
        <v>-261042.09</v>
      </c>
    </row>
    <row r="212" spans="1:7" x14ac:dyDescent="0.2">
      <c r="A212" s="1">
        <v>244338</v>
      </c>
      <c r="B212" t="s">
        <v>18</v>
      </c>
      <c r="C212" t="s">
        <v>269</v>
      </c>
      <c r="D212" t="s">
        <v>275</v>
      </c>
      <c r="F212" s="2">
        <v>1000</v>
      </c>
      <c r="G212" s="2">
        <v>-262042.09</v>
      </c>
    </row>
    <row r="213" spans="1:7" x14ac:dyDescent="0.2">
      <c r="A213" s="1">
        <v>244338</v>
      </c>
      <c r="B213" t="s">
        <v>18</v>
      </c>
      <c r="C213" t="s">
        <v>269</v>
      </c>
      <c r="D213" t="s">
        <v>276</v>
      </c>
      <c r="F213" s="2">
        <v>3000</v>
      </c>
      <c r="G213" s="2">
        <v>-265042.09000000003</v>
      </c>
    </row>
    <row r="214" spans="1:7" x14ac:dyDescent="0.2">
      <c r="A214" s="1">
        <v>244338</v>
      </c>
      <c r="B214" t="s">
        <v>18</v>
      </c>
      <c r="C214" t="s">
        <v>269</v>
      </c>
      <c r="D214" t="s">
        <v>277</v>
      </c>
      <c r="F214" s="2">
        <v>1000</v>
      </c>
      <c r="G214" s="2">
        <v>-266042.09000000003</v>
      </c>
    </row>
    <row r="215" spans="1:7" x14ac:dyDescent="0.2">
      <c r="A215" s="1">
        <v>244340</v>
      </c>
      <c r="B215" t="s">
        <v>18</v>
      </c>
      <c r="C215" t="s">
        <v>278</v>
      </c>
      <c r="D215" t="s">
        <v>279</v>
      </c>
      <c r="E215" s="2">
        <v>4672.8999999999996</v>
      </c>
      <c r="G215" s="2">
        <v>-261369.19</v>
      </c>
    </row>
    <row r="216" spans="1:7" x14ac:dyDescent="0.2">
      <c r="A216" s="1">
        <v>244340</v>
      </c>
      <c r="B216" t="s">
        <v>18</v>
      </c>
      <c r="C216" t="s">
        <v>280</v>
      </c>
      <c r="D216" t="s">
        <v>281</v>
      </c>
      <c r="E216" s="2">
        <v>3000</v>
      </c>
      <c r="G216" s="2">
        <v>-258369.19</v>
      </c>
    </row>
    <row r="217" spans="1:7" x14ac:dyDescent="0.2">
      <c r="A217" s="1">
        <v>244340</v>
      </c>
      <c r="B217" t="s">
        <v>18</v>
      </c>
      <c r="C217" t="s">
        <v>282</v>
      </c>
      <c r="D217" t="s">
        <v>283</v>
      </c>
      <c r="E217" s="2">
        <v>3000</v>
      </c>
      <c r="G217" s="2">
        <v>-255369.19</v>
      </c>
    </row>
    <row r="218" spans="1:7" x14ac:dyDescent="0.2">
      <c r="A218" s="1">
        <v>244340</v>
      </c>
      <c r="B218" t="s">
        <v>18</v>
      </c>
      <c r="C218" t="s">
        <v>284</v>
      </c>
      <c r="D218" t="s">
        <v>285</v>
      </c>
      <c r="E218" s="2">
        <v>3000</v>
      </c>
      <c r="G218" s="2">
        <v>-252369.19</v>
      </c>
    </row>
    <row r="219" spans="1:7" x14ac:dyDescent="0.2">
      <c r="A219" s="1">
        <v>244340</v>
      </c>
      <c r="B219" t="s">
        <v>18</v>
      </c>
      <c r="C219" t="s">
        <v>286</v>
      </c>
      <c r="D219" t="s">
        <v>287</v>
      </c>
      <c r="E219" s="2">
        <v>3000</v>
      </c>
      <c r="G219" s="2">
        <v>-249369.19</v>
      </c>
    </row>
    <row r="220" spans="1:7" x14ac:dyDescent="0.2">
      <c r="A220" s="1">
        <v>244340</v>
      </c>
      <c r="B220" t="s">
        <v>18</v>
      </c>
      <c r="C220" t="s">
        <v>288</v>
      </c>
      <c r="D220" t="s">
        <v>289</v>
      </c>
      <c r="F220" s="2">
        <v>3000</v>
      </c>
      <c r="G220" s="2">
        <v>-252369.19</v>
      </c>
    </row>
    <row r="221" spans="1:7" x14ac:dyDescent="0.2">
      <c r="A221" s="1">
        <v>244340</v>
      </c>
      <c r="B221" t="s">
        <v>18</v>
      </c>
      <c r="C221" t="s">
        <v>288</v>
      </c>
      <c r="D221" t="s">
        <v>290</v>
      </c>
      <c r="F221" s="2">
        <v>5000</v>
      </c>
      <c r="G221" s="2">
        <v>-257369.19</v>
      </c>
    </row>
    <row r="222" spans="1:7" x14ac:dyDescent="0.2">
      <c r="A222" s="1">
        <v>244340</v>
      </c>
      <c r="B222" t="s">
        <v>18</v>
      </c>
      <c r="C222" t="s">
        <v>288</v>
      </c>
      <c r="D222" t="s">
        <v>291</v>
      </c>
      <c r="E222" s="2">
        <v>20000</v>
      </c>
      <c r="G222" s="2">
        <v>-237369.19</v>
      </c>
    </row>
    <row r="223" spans="1:7" x14ac:dyDescent="0.2">
      <c r="A223" s="1">
        <v>244341</v>
      </c>
      <c r="B223" t="s">
        <v>18</v>
      </c>
      <c r="C223" t="s">
        <v>292</v>
      </c>
      <c r="D223" t="s">
        <v>293</v>
      </c>
      <c r="E223" s="2">
        <v>5000</v>
      </c>
      <c r="G223" s="2">
        <v>-232369.19</v>
      </c>
    </row>
    <row r="224" spans="1:7" x14ac:dyDescent="0.2">
      <c r="A224" s="1">
        <v>244341</v>
      </c>
      <c r="B224" t="s">
        <v>18</v>
      </c>
      <c r="C224" t="s">
        <v>294</v>
      </c>
      <c r="D224" t="s">
        <v>295</v>
      </c>
      <c r="F224" s="2">
        <v>3000</v>
      </c>
      <c r="G224" s="2">
        <v>-235369.19</v>
      </c>
    </row>
    <row r="225" spans="1:7" x14ac:dyDescent="0.2">
      <c r="A225" s="1">
        <v>244341</v>
      </c>
      <c r="B225" t="s">
        <v>18</v>
      </c>
      <c r="C225" t="s">
        <v>294</v>
      </c>
      <c r="D225" t="s">
        <v>296</v>
      </c>
      <c r="F225" s="2">
        <v>3000</v>
      </c>
      <c r="G225" s="2">
        <v>-238369.19</v>
      </c>
    </row>
    <row r="226" spans="1:7" x14ac:dyDescent="0.2">
      <c r="A226" s="1">
        <v>244341</v>
      </c>
      <c r="B226" t="s">
        <v>18</v>
      </c>
      <c r="C226" t="s">
        <v>294</v>
      </c>
      <c r="D226" t="s">
        <v>297</v>
      </c>
      <c r="E226" s="2">
        <v>5000</v>
      </c>
      <c r="G226" s="2">
        <v>-233369.19</v>
      </c>
    </row>
    <row r="227" spans="1:7" x14ac:dyDescent="0.2">
      <c r="A227" s="1">
        <v>244342</v>
      </c>
      <c r="B227" t="s">
        <v>18</v>
      </c>
      <c r="C227" t="s">
        <v>298</v>
      </c>
      <c r="D227" t="s">
        <v>299</v>
      </c>
      <c r="E227" s="2">
        <v>33000</v>
      </c>
      <c r="G227" s="2">
        <v>-200369.19</v>
      </c>
    </row>
    <row r="228" spans="1:7" x14ac:dyDescent="0.2">
      <c r="A228" s="1">
        <v>244342</v>
      </c>
      <c r="B228" t="s">
        <v>18</v>
      </c>
      <c r="C228" t="s">
        <v>300</v>
      </c>
      <c r="D228" t="s">
        <v>301</v>
      </c>
      <c r="E228" s="2">
        <v>1000</v>
      </c>
      <c r="G228" s="2">
        <v>-199369.19</v>
      </c>
    </row>
    <row r="229" spans="1:7" x14ac:dyDescent="0.2">
      <c r="A229" s="1">
        <v>244342</v>
      </c>
      <c r="B229" t="s">
        <v>18</v>
      </c>
      <c r="C229" t="s">
        <v>302</v>
      </c>
      <c r="D229" t="s">
        <v>303</v>
      </c>
      <c r="E229" s="2">
        <v>3000</v>
      </c>
      <c r="G229" s="2">
        <v>-196369.19</v>
      </c>
    </row>
    <row r="230" spans="1:7" x14ac:dyDescent="0.2">
      <c r="A230" s="1">
        <v>244342</v>
      </c>
      <c r="B230" t="s">
        <v>18</v>
      </c>
      <c r="C230" t="s">
        <v>304</v>
      </c>
      <c r="D230" t="s">
        <v>305</v>
      </c>
      <c r="F230" s="2">
        <v>5000</v>
      </c>
      <c r="G230" s="2">
        <v>-201369.19</v>
      </c>
    </row>
    <row r="231" spans="1:7" x14ac:dyDescent="0.2">
      <c r="A231" s="1">
        <v>244342</v>
      </c>
      <c r="B231" t="s">
        <v>18</v>
      </c>
      <c r="C231" t="s">
        <v>304</v>
      </c>
      <c r="D231" t="s">
        <v>306</v>
      </c>
      <c r="F231" s="2">
        <v>3000</v>
      </c>
      <c r="G231" s="2">
        <v>-204369.19</v>
      </c>
    </row>
    <row r="232" spans="1:7" x14ac:dyDescent="0.2">
      <c r="A232" s="1">
        <v>244342</v>
      </c>
      <c r="B232" t="s">
        <v>18</v>
      </c>
      <c r="C232" t="s">
        <v>304</v>
      </c>
      <c r="D232" t="s">
        <v>307</v>
      </c>
      <c r="F232" s="2">
        <v>1000</v>
      </c>
      <c r="G232" s="2">
        <v>-205369.19</v>
      </c>
    </row>
    <row r="233" spans="1:7" x14ac:dyDescent="0.2">
      <c r="A233" s="1">
        <v>244342</v>
      </c>
      <c r="B233" t="s">
        <v>18</v>
      </c>
      <c r="C233" t="s">
        <v>304</v>
      </c>
      <c r="D233" t="s">
        <v>308</v>
      </c>
      <c r="F233" s="2">
        <v>3000</v>
      </c>
      <c r="G233" s="2">
        <v>-208369.19</v>
      </c>
    </row>
    <row r="234" spans="1:7" x14ac:dyDescent="0.2">
      <c r="A234" s="1">
        <v>244342</v>
      </c>
      <c r="B234" t="s">
        <v>18</v>
      </c>
      <c r="C234" t="s">
        <v>304</v>
      </c>
      <c r="D234" t="s">
        <v>309</v>
      </c>
      <c r="F234" s="2">
        <v>1000</v>
      </c>
      <c r="G234" s="2">
        <v>-209369.19</v>
      </c>
    </row>
    <row r="235" spans="1:7" x14ac:dyDescent="0.2">
      <c r="A235" s="1">
        <v>244342</v>
      </c>
      <c r="B235" t="s">
        <v>18</v>
      </c>
      <c r="C235" t="s">
        <v>304</v>
      </c>
      <c r="D235" t="s">
        <v>310</v>
      </c>
      <c r="F235" s="2">
        <v>1000</v>
      </c>
      <c r="G235" s="2">
        <v>-210369.19</v>
      </c>
    </row>
    <row r="236" spans="1:7" x14ac:dyDescent="0.2">
      <c r="A236" s="1">
        <v>244342</v>
      </c>
      <c r="B236" t="s">
        <v>18</v>
      </c>
      <c r="C236" t="s">
        <v>304</v>
      </c>
      <c r="D236" t="s">
        <v>311</v>
      </c>
      <c r="F236" s="2">
        <v>2000</v>
      </c>
      <c r="G236" s="2">
        <v>-212369.19</v>
      </c>
    </row>
    <row r="237" spans="1:7" x14ac:dyDescent="0.2">
      <c r="A237" s="1">
        <v>244342</v>
      </c>
      <c r="B237" t="s">
        <v>18</v>
      </c>
      <c r="C237" t="s">
        <v>304</v>
      </c>
      <c r="D237" t="s">
        <v>312</v>
      </c>
      <c r="F237" s="2">
        <v>3000</v>
      </c>
      <c r="G237" s="2">
        <v>-215369.19</v>
      </c>
    </row>
    <row r="238" spans="1:7" x14ac:dyDescent="0.2">
      <c r="A238" s="1">
        <v>244342</v>
      </c>
      <c r="B238" t="s">
        <v>18</v>
      </c>
      <c r="C238" t="s">
        <v>304</v>
      </c>
      <c r="D238" t="s">
        <v>313</v>
      </c>
      <c r="F238" s="2">
        <v>2000</v>
      </c>
      <c r="G238" s="2">
        <v>-217369.19</v>
      </c>
    </row>
    <row r="239" spans="1:7" x14ac:dyDescent="0.2">
      <c r="A239" s="1">
        <v>244342</v>
      </c>
      <c r="B239" t="s">
        <v>18</v>
      </c>
      <c r="C239" t="s">
        <v>304</v>
      </c>
      <c r="D239" t="s">
        <v>314</v>
      </c>
      <c r="F239" s="2">
        <v>1000</v>
      </c>
      <c r="G239" s="2">
        <v>-218369.19</v>
      </c>
    </row>
    <row r="240" spans="1:7" x14ac:dyDescent="0.2">
      <c r="A240" s="1">
        <v>244342</v>
      </c>
      <c r="B240" t="s">
        <v>18</v>
      </c>
      <c r="C240" t="s">
        <v>304</v>
      </c>
      <c r="D240" t="s">
        <v>315</v>
      </c>
      <c r="F240" s="2">
        <v>3000</v>
      </c>
      <c r="G240" s="2">
        <v>-221369.19</v>
      </c>
    </row>
    <row r="241" spans="1:7" x14ac:dyDescent="0.2">
      <c r="A241" s="1">
        <v>244342</v>
      </c>
      <c r="B241" t="s">
        <v>18</v>
      </c>
      <c r="C241" t="s">
        <v>304</v>
      </c>
      <c r="D241" t="s">
        <v>316</v>
      </c>
      <c r="F241" s="2">
        <v>3000</v>
      </c>
      <c r="G241" s="2">
        <v>-224369.19</v>
      </c>
    </row>
    <row r="242" spans="1:7" x14ac:dyDescent="0.2">
      <c r="A242" s="1">
        <v>244342</v>
      </c>
      <c r="B242" t="s">
        <v>18</v>
      </c>
      <c r="C242" t="s">
        <v>304</v>
      </c>
      <c r="D242" t="s">
        <v>317</v>
      </c>
      <c r="F242" s="2">
        <v>10000</v>
      </c>
      <c r="G242" s="2">
        <v>-234369.19</v>
      </c>
    </row>
    <row r="243" spans="1:7" x14ac:dyDescent="0.2">
      <c r="A243" s="1">
        <v>244342</v>
      </c>
      <c r="B243" t="s">
        <v>18</v>
      </c>
      <c r="C243" t="s">
        <v>304</v>
      </c>
      <c r="D243" t="s">
        <v>318</v>
      </c>
      <c r="F243" s="2">
        <v>3000</v>
      </c>
      <c r="G243" s="2">
        <v>-237369.19</v>
      </c>
    </row>
    <row r="244" spans="1:7" x14ac:dyDescent="0.2">
      <c r="A244" s="1">
        <v>244342</v>
      </c>
      <c r="B244" t="s">
        <v>18</v>
      </c>
      <c r="C244" t="s">
        <v>304</v>
      </c>
      <c r="D244" t="s">
        <v>319</v>
      </c>
      <c r="E244" s="2">
        <v>3000</v>
      </c>
      <c r="G244" s="2">
        <v>-234369.19</v>
      </c>
    </row>
    <row r="245" spans="1:7" x14ac:dyDescent="0.2">
      <c r="A245" s="1">
        <v>244343</v>
      </c>
      <c r="B245" t="s">
        <v>18</v>
      </c>
      <c r="C245" t="s">
        <v>320</v>
      </c>
      <c r="D245" t="s">
        <v>321</v>
      </c>
      <c r="E245" s="2">
        <v>1000</v>
      </c>
      <c r="G245" s="2">
        <v>-233369.19</v>
      </c>
    </row>
    <row r="246" spans="1:7" x14ac:dyDescent="0.2">
      <c r="A246" s="1">
        <v>244343</v>
      </c>
      <c r="B246" t="s">
        <v>18</v>
      </c>
      <c r="C246" t="s">
        <v>320</v>
      </c>
      <c r="D246" t="s">
        <v>322</v>
      </c>
      <c r="E246" s="2">
        <v>5000</v>
      </c>
      <c r="G246" s="2">
        <v>-228369.19</v>
      </c>
    </row>
    <row r="247" spans="1:7" x14ac:dyDescent="0.2">
      <c r="A247" s="1">
        <v>244343</v>
      </c>
      <c r="B247" t="s">
        <v>18</v>
      </c>
      <c r="C247" t="s">
        <v>320</v>
      </c>
      <c r="D247" t="s">
        <v>323</v>
      </c>
      <c r="E247" s="2">
        <v>3000</v>
      </c>
      <c r="G247" s="2">
        <v>-225369.19</v>
      </c>
    </row>
    <row r="248" spans="1:7" x14ac:dyDescent="0.2">
      <c r="A248" s="1">
        <v>244343</v>
      </c>
      <c r="B248" t="s">
        <v>18</v>
      </c>
      <c r="C248" t="s">
        <v>320</v>
      </c>
      <c r="D248" t="s">
        <v>324</v>
      </c>
      <c r="F248" s="2">
        <v>3000</v>
      </c>
      <c r="G248" s="2">
        <v>-228369.19</v>
      </c>
    </row>
    <row r="249" spans="1:7" x14ac:dyDescent="0.2">
      <c r="A249" s="1">
        <v>244343</v>
      </c>
      <c r="B249" t="s">
        <v>18</v>
      </c>
      <c r="C249" t="s">
        <v>320</v>
      </c>
      <c r="D249" t="s">
        <v>325</v>
      </c>
      <c r="F249" s="2">
        <v>2000</v>
      </c>
      <c r="G249" s="2">
        <v>-230369.19</v>
      </c>
    </row>
    <row r="250" spans="1:7" x14ac:dyDescent="0.2">
      <c r="A250" s="1">
        <v>244343</v>
      </c>
      <c r="B250" t="s">
        <v>18</v>
      </c>
      <c r="C250" t="s">
        <v>320</v>
      </c>
      <c r="D250" t="s">
        <v>326</v>
      </c>
      <c r="F250" s="2">
        <v>5000</v>
      </c>
      <c r="G250" s="2">
        <v>-235369.19</v>
      </c>
    </row>
    <row r="251" spans="1:7" x14ac:dyDescent="0.2">
      <c r="A251" s="1">
        <v>244343</v>
      </c>
      <c r="B251" t="s">
        <v>18</v>
      </c>
      <c r="C251" t="s">
        <v>320</v>
      </c>
      <c r="D251" t="s">
        <v>327</v>
      </c>
      <c r="F251" s="2">
        <v>2000</v>
      </c>
      <c r="G251" s="2">
        <v>-237369.19</v>
      </c>
    </row>
    <row r="252" spans="1:7" x14ac:dyDescent="0.2">
      <c r="A252" s="1">
        <v>244343</v>
      </c>
      <c r="B252" t="s">
        <v>18</v>
      </c>
      <c r="C252" t="s">
        <v>320</v>
      </c>
      <c r="D252" t="s">
        <v>328</v>
      </c>
      <c r="F252" s="2">
        <v>2000</v>
      </c>
      <c r="G252" s="2">
        <v>-239369.19</v>
      </c>
    </row>
    <row r="253" spans="1:7" x14ac:dyDescent="0.2">
      <c r="A253" s="1">
        <v>244343</v>
      </c>
      <c r="B253" t="s">
        <v>18</v>
      </c>
      <c r="C253" t="s">
        <v>320</v>
      </c>
      <c r="D253" t="s">
        <v>329</v>
      </c>
      <c r="F253" s="2">
        <v>2000</v>
      </c>
      <c r="G253" s="2">
        <v>-241369.19</v>
      </c>
    </row>
    <row r="254" spans="1:7" x14ac:dyDescent="0.2">
      <c r="A254" s="1">
        <v>244343</v>
      </c>
      <c r="B254" t="s">
        <v>18</v>
      </c>
      <c r="C254" t="s">
        <v>320</v>
      </c>
      <c r="D254" t="s">
        <v>330</v>
      </c>
      <c r="F254" s="2">
        <v>3000</v>
      </c>
      <c r="G254" s="2">
        <v>-244369.19</v>
      </c>
    </row>
    <row r="255" spans="1:7" x14ac:dyDescent="0.2">
      <c r="A255" s="1">
        <v>244343</v>
      </c>
      <c r="B255" t="s">
        <v>18</v>
      </c>
      <c r="C255" t="s">
        <v>320</v>
      </c>
      <c r="D255" t="s">
        <v>331</v>
      </c>
      <c r="F255" s="2">
        <v>2000</v>
      </c>
      <c r="G255" s="2">
        <v>-246369.19</v>
      </c>
    </row>
    <row r="256" spans="1:7" x14ac:dyDescent="0.2">
      <c r="A256" s="1">
        <v>244344</v>
      </c>
      <c r="B256" t="s">
        <v>18</v>
      </c>
      <c r="C256" t="s">
        <v>332</v>
      </c>
      <c r="D256" t="s">
        <v>333</v>
      </c>
      <c r="E256" s="2">
        <v>3000</v>
      </c>
      <c r="G256" s="2">
        <v>-243369.19</v>
      </c>
    </row>
    <row r="257" spans="1:7" x14ac:dyDescent="0.2">
      <c r="A257" s="1">
        <v>244344</v>
      </c>
      <c r="B257" t="s">
        <v>18</v>
      </c>
      <c r="C257" t="s">
        <v>334</v>
      </c>
      <c r="D257" t="s">
        <v>335</v>
      </c>
      <c r="E257" s="2">
        <v>3000</v>
      </c>
      <c r="G257" s="2">
        <v>-240369.19</v>
      </c>
    </row>
    <row r="258" spans="1:7" x14ac:dyDescent="0.2">
      <c r="A258" s="1">
        <v>244344</v>
      </c>
      <c r="B258" t="s">
        <v>18</v>
      </c>
      <c r="C258" t="s">
        <v>336</v>
      </c>
      <c r="D258" t="s">
        <v>337</v>
      </c>
      <c r="E258" s="2">
        <v>3000</v>
      </c>
      <c r="G258" s="2">
        <v>-237369.19</v>
      </c>
    </row>
    <row r="259" spans="1:7" x14ac:dyDescent="0.2">
      <c r="A259" s="1">
        <v>244344</v>
      </c>
      <c r="B259" t="s">
        <v>18</v>
      </c>
      <c r="C259" t="s">
        <v>336</v>
      </c>
      <c r="D259" t="s">
        <v>338</v>
      </c>
      <c r="F259" s="2">
        <v>3000</v>
      </c>
      <c r="G259" s="2">
        <v>-240369.19</v>
      </c>
    </row>
    <row r="260" spans="1:7" x14ac:dyDescent="0.2">
      <c r="A260" s="1">
        <v>244344</v>
      </c>
      <c r="B260" t="s">
        <v>18</v>
      </c>
      <c r="C260" t="s">
        <v>336</v>
      </c>
      <c r="D260" t="s">
        <v>339</v>
      </c>
      <c r="F260" s="2">
        <v>5000</v>
      </c>
      <c r="G260" s="2">
        <v>-245369.19</v>
      </c>
    </row>
    <row r="261" spans="1:7" x14ac:dyDescent="0.2">
      <c r="A261" s="1">
        <v>244344</v>
      </c>
      <c r="B261" t="s">
        <v>18</v>
      </c>
      <c r="C261" t="s">
        <v>336</v>
      </c>
      <c r="D261" t="s">
        <v>340</v>
      </c>
      <c r="F261" s="2">
        <v>3000</v>
      </c>
      <c r="G261" s="2">
        <v>-248369.19</v>
      </c>
    </row>
    <row r="262" spans="1:7" x14ac:dyDescent="0.2">
      <c r="A262" s="1">
        <v>244344</v>
      </c>
      <c r="B262" t="s">
        <v>18</v>
      </c>
      <c r="C262" t="s">
        <v>336</v>
      </c>
      <c r="D262" t="s">
        <v>341</v>
      </c>
      <c r="F262" s="2">
        <v>3000</v>
      </c>
      <c r="G262" s="2">
        <v>-251369.19</v>
      </c>
    </row>
    <row r="263" spans="1:7" x14ac:dyDescent="0.2">
      <c r="A263" s="1">
        <v>244345</v>
      </c>
      <c r="B263" t="s">
        <v>18</v>
      </c>
      <c r="C263" t="s">
        <v>342</v>
      </c>
      <c r="D263" t="s">
        <v>343</v>
      </c>
      <c r="F263" s="2">
        <v>3000</v>
      </c>
      <c r="G263" s="2">
        <v>-254369.19</v>
      </c>
    </row>
    <row r="264" spans="1:7" x14ac:dyDescent="0.2">
      <c r="A264" s="1">
        <v>244345</v>
      </c>
      <c r="B264" t="s">
        <v>18</v>
      </c>
      <c r="C264" t="s">
        <v>342</v>
      </c>
      <c r="D264" t="s">
        <v>344</v>
      </c>
      <c r="F264" s="2">
        <v>2000</v>
      </c>
      <c r="G264" s="2">
        <v>-256369.19</v>
      </c>
    </row>
    <row r="265" spans="1:7" x14ac:dyDescent="0.2">
      <c r="A265" s="1">
        <v>244347</v>
      </c>
      <c r="B265" t="s">
        <v>18</v>
      </c>
      <c r="C265" t="s">
        <v>345</v>
      </c>
      <c r="D265" t="s">
        <v>346</v>
      </c>
      <c r="E265" s="2">
        <v>5000</v>
      </c>
      <c r="G265" s="2">
        <v>-251369.19</v>
      </c>
    </row>
    <row r="266" spans="1:7" x14ac:dyDescent="0.2">
      <c r="A266" s="1">
        <v>244347</v>
      </c>
      <c r="B266" t="s">
        <v>18</v>
      </c>
      <c r="C266" t="s">
        <v>347</v>
      </c>
      <c r="D266" t="s">
        <v>348</v>
      </c>
      <c r="E266" s="2">
        <v>3000</v>
      </c>
      <c r="G266" s="2">
        <v>-248369.19</v>
      </c>
    </row>
    <row r="267" spans="1:7" x14ac:dyDescent="0.2">
      <c r="A267" s="1">
        <v>244347</v>
      </c>
      <c r="B267" t="s">
        <v>18</v>
      </c>
      <c r="C267" t="s">
        <v>349</v>
      </c>
      <c r="D267" t="s">
        <v>350</v>
      </c>
      <c r="E267" s="2">
        <v>10000</v>
      </c>
      <c r="G267" s="2">
        <v>-238369.19</v>
      </c>
    </row>
    <row r="268" spans="1:7" x14ac:dyDescent="0.2">
      <c r="A268" s="1">
        <v>244348</v>
      </c>
      <c r="B268" t="s">
        <v>18</v>
      </c>
      <c r="C268" t="s">
        <v>351</v>
      </c>
      <c r="D268" t="s">
        <v>352</v>
      </c>
      <c r="E268" s="2">
        <v>1000</v>
      </c>
      <c r="G268" s="2">
        <v>-237369.19</v>
      </c>
    </row>
    <row r="269" spans="1:7" x14ac:dyDescent="0.2">
      <c r="A269" s="1">
        <v>244348</v>
      </c>
      <c r="B269" t="s">
        <v>18</v>
      </c>
      <c r="C269" t="s">
        <v>353</v>
      </c>
      <c r="D269" t="s">
        <v>131</v>
      </c>
      <c r="E269" s="2">
        <v>3000</v>
      </c>
      <c r="G269" s="2">
        <v>-234369.19</v>
      </c>
    </row>
    <row r="270" spans="1:7" x14ac:dyDescent="0.2">
      <c r="A270" s="1">
        <v>244348</v>
      </c>
      <c r="B270" t="s">
        <v>18</v>
      </c>
      <c r="C270" t="s">
        <v>354</v>
      </c>
      <c r="D270" t="s">
        <v>355</v>
      </c>
      <c r="E270" s="2">
        <v>3000</v>
      </c>
      <c r="G270" s="2">
        <v>-231369.19</v>
      </c>
    </row>
    <row r="271" spans="1:7" x14ac:dyDescent="0.2">
      <c r="A271" s="1">
        <v>244348</v>
      </c>
      <c r="B271" t="s">
        <v>18</v>
      </c>
      <c r="C271" t="s">
        <v>356</v>
      </c>
      <c r="D271" t="s">
        <v>357</v>
      </c>
      <c r="E271" s="2">
        <v>3000</v>
      </c>
      <c r="G271" s="2">
        <v>-228369.19</v>
      </c>
    </row>
    <row r="272" spans="1:7" x14ac:dyDescent="0.2">
      <c r="A272" s="1">
        <v>244348</v>
      </c>
      <c r="B272" t="s">
        <v>18</v>
      </c>
      <c r="C272" t="s">
        <v>358</v>
      </c>
      <c r="D272" t="s">
        <v>359</v>
      </c>
      <c r="E272" s="2">
        <v>5000</v>
      </c>
      <c r="G272" s="2">
        <v>-223369.19</v>
      </c>
    </row>
    <row r="273" spans="1:7" x14ac:dyDescent="0.2">
      <c r="A273" s="1">
        <v>244348</v>
      </c>
      <c r="B273" t="s">
        <v>18</v>
      </c>
      <c r="C273" t="s">
        <v>360</v>
      </c>
      <c r="D273" t="s">
        <v>361</v>
      </c>
      <c r="E273" s="2">
        <v>13000</v>
      </c>
      <c r="G273" s="2">
        <v>-210369.19</v>
      </c>
    </row>
    <row r="274" spans="1:7" x14ac:dyDescent="0.2">
      <c r="A274" s="1">
        <v>244348</v>
      </c>
      <c r="B274" t="s">
        <v>18</v>
      </c>
      <c r="C274" t="s">
        <v>362</v>
      </c>
      <c r="D274" t="s">
        <v>363</v>
      </c>
      <c r="E274" s="2">
        <v>10000</v>
      </c>
      <c r="G274" s="2">
        <v>-200369.19</v>
      </c>
    </row>
    <row r="275" spans="1:7" x14ac:dyDescent="0.2">
      <c r="A275" s="1">
        <v>244348</v>
      </c>
      <c r="B275" t="s">
        <v>18</v>
      </c>
      <c r="C275" t="s">
        <v>362</v>
      </c>
      <c r="D275" t="s">
        <v>364</v>
      </c>
      <c r="E275" s="2">
        <v>3000</v>
      </c>
      <c r="G275" s="2">
        <v>-197369.19</v>
      </c>
    </row>
    <row r="276" spans="1:7" x14ac:dyDescent="0.2">
      <c r="A276" s="1">
        <v>244348</v>
      </c>
      <c r="B276" t="s">
        <v>18</v>
      </c>
      <c r="C276" t="s">
        <v>365</v>
      </c>
      <c r="D276" t="s">
        <v>366</v>
      </c>
      <c r="E276" s="2">
        <v>5000</v>
      </c>
      <c r="G276" s="2">
        <v>-192369.19</v>
      </c>
    </row>
    <row r="277" spans="1:7" x14ac:dyDescent="0.2">
      <c r="A277" s="1">
        <v>244348</v>
      </c>
      <c r="B277" t="s">
        <v>18</v>
      </c>
      <c r="C277" t="s">
        <v>365</v>
      </c>
      <c r="D277" t="s">
        <v>367</v>
      </c>
      <c r="E277" s="2">
        <v>1000</v>
      </c>
      <c r="G277" s="2">
        <v>-191369.19</v>
      </c>
    </row>
    <row r="278" spans="1:7" x14ac:dyDescent="0.2">
      <c r="A278" s="1">
        <v>244348</v>
      </c>
      <c r="B278" t="s">
        <v>18</v>
      </c>
      <c r="C278" t="s">
        <v>365</v>
      </c>
      <c r="D278" t="s">
        <v>368</v>
      </c>
      <c r="E278" s="2">
        <v>3000</v>
      </c>
      <c r="G278" s="2">
        <v>-188369.19</v>
      </c>
    </row>
    <row r="279" spans="1:7" x14ac:dyDescent="0.2">
      <c r="A279" s="1">
        <v>244348</v>
      </c>
      <c r="B279" t="s">
        <v>18</v>
      </c>
      <c r="C279" t="s">
        <v>365</v>
      </c>
      <c r="D279" t="s">
        <v>369</v>
      </c>
      <c r="E279" s="2">
        <v>3000</v>
      </c>
      <c r="G279" s="2">
        <v>-185369.19</v>
      </c>
    </row>
    <row r="280" spans="1:7" x14ac:dyDescent="0.2">
      <c r="A280" s="1">
        <v>244348</v>
      </c>
      <c r="B280" t="s">
        <v>18</v>
      </c>
      <c r="C280" t="s">
        <v>365</v>
      </c>
      <c r="D280" t="s">
        <v>370</v>
      </c>
      <c r="E280" s="2">
        <v>3000</v>
      </c>
      <c r="G280" s="2">
        <v>-182369.19</v>
      </c>
    </row>
    <row r="281" spans="1:7" x14ac:dyDescent="0.2">
      <c r="A281" s="1">
        <v>244348</v>
      </c>
      <c r="B281" t="s">
        <v>371</v>
      </c>
      <c r="C281" t="s">
        <v>372</v>
      </c>
      <c r="D281" t="s">
        <v>373</v>
      </c>
      <c r="F281" s="2">
        <v>196.26</v>
      </c>
      <c r="G281" s="2">
        <v>-182565.45</v>
      </c>
    </row>
    <row r="282" spans="1:7" x14ac:dyDescent="0.2">
      <c r="A282" s="1">
        <v>244348</v>
      </c>
      <c r="B282" t="s">
        <v>371</v>
      </c>
      <c r="C282" t="s">
        <v>372</v>
      </c>
      <c r="D282" t="s">
        <v>374</v>
      </c>
      <c r="F282" s="2">
        <v>327.10000000000002</v>
      </c>
      <c r="G282" s="2">
        <v>-182892.55</v>
      </c>
    </row>
    <row r="283" spans="1:7" x14ac:dyDescent="0.2">
      <c r="A283" s="1">
        <v>244348</v>
      </c>
      <c r="B283" t="s">
        <v>371</v>
      </c>
      <c r="C283" t="s">
        <v>375</v>
      </c>
      <c r="D283" t="s">
        <v>376</v>
      </c>
      <c r="E283" s="2">
        <v>327.10000000000002</v>
      </c>
      <c r="G283" s="2">
        <v>-182565.45</v>
      </c>
    </row>
    <row r="284" spans="1:7" x14ac:dyDescent="0.2">
      <c r="A284" s="1">
        <v>244348</v>
      </c>
      <c r="B284" t="s">
        <v>371</v>
      </c>
      <c r="C284" t="s">
        <v>375</v>
      </c>
      <c r="D284" t="s">
        <v>377</v>
      </c>
      <c r="E284" s="2">
        <v>654.21</v>
      </c>
      <c r="G284" s="2">
        <v>-181911.24</v>
      </c>
    </row>
    <row r="285" spans="1:7" x14ac:dyDescent="0.2">
      <c r="A285" s="1">
        <v>244348</v>
      </c>
      <c r="B285" t="s">
        <v>371</v>
      </c>
      <c r="C285" t="s">
        <v>375</v>
      </c>
      <c r="D285" t="s">
        <v>378</v>
      </c>
      <c r="E285" s="2">
        <v>130.84</v>
      </c>
      <c r="G285" s="2">
        <v>-181780.4</v>
      </c>
    </row>
    <row r="286" spans="1:7" x14ac:dyDescent="0.2">
      <c r="A286" s="1">
        <v>244348</v>
      </c>
      <c r="B286" t="s">
        <v>371</v>
      </c>
      <c r="C286" t="s">
        <v>375</v>
      </c>
      <c r="D286" t="s">
        <v>379</v>
      </c>
      <c r="E286" s="2">
        <v>327.10000000000002</v>
      </c>
      <c r="G286" s="2">
        <v>-181453.3</v>
      </c>
    </row>
    <row r="287" spans="1:7" x14ac:dyDescent="0.2">
      <c r="A287" s="1">
        <v>244348</v>
      </c>
      <c r="B287" t="s">
        <v>371</v>
      </c>
      <c r="C287" t="s">
        <v>375</v>
      </c>
      <c r="D287" t="s">
        <v>380</v>
      </c>
      <c r="E287" s="2">
        <v>196.26</v>
      </c>
      <c r="G287" s="2">
        <v>-181257.04</v>
      </c>
    </row>
    <row r="288" spans="1:7" x14ac:dyDescent="0.2">
      <c r="A288" s="1">
        <v>244348</v>
      </c>
      <c r="B288" t="s">
        <v>371</v>
      </c>
      <c r="C288" t="s">
        <v>375</v>
      </c>
      <c r="D288" t="s">
        <v>381</v>
      </c>
      <c r="E288" s="2">
        <v>130.84</v>
      </c>
      <c r="G288" s="2">
        <v>-181126.2</v>
      </c>
    </row>
    <row r="289" spans="1:7" x14ac:dyDescent="0.2">
      <c r="A289" s="1">
        <v>244348</v>
      </c>
      <c r="B289" t="s">
        <v>371</v>
      </c>
      <c r="C289" t="s">
        <v>375</v>
      </c>
      <c r="D289" t="s">
        <v>382</v>
      </c>
      <c r="E289" s="2">
        <v>196.26</v>
      </c>
      <c r="G289" s="2">
        <v>-180929.94</v>
      </c>
    </row>
    <row r="290" spans="1:7" x14ac:dyDescent="0.2">
      <c r="A290" s="1">
        <v>244348</v>
      </c>
      <c r="B290" t="s">
        <v>371</v>
      </c>
      <c r="C290" t="s">
        <v>375</v>
      </c>
      <c r="D290" t="s">
        <v>383</v>
      </c>
      <c r="E290" s="2">
        <v>196.26</v>
      </c>
      <c r="G290" s="2">
        <v>-180733.68</v>
      </c>
    </row>
    <row r="291" spans="1:7" x14ac:dyDescent="0.2">
      <c r="A291" s="1">
        <v>244348</v>
      </c>
      <c r="B291" t="s">
        <v>371</v>
      </c>
      <c r="C291" t="s">
        <v>375</v>
      </c>
      <c r="D291" t="s">
        <v>384</v>
      </c>
      <c r="E291" s="2">
        <v>65.42</v>
      </c>
      <c r="G291" s="2">
        <v>-180668.26</v>
      </c>
    </row>
    <row r="292" spans="1:7" x14ac:dyDescent="0.2">
      <c r="A292" s="1">
        <v>244348</v>
      </c>
      <c r="B292" t="s">
        <v>371</v>
      </c>
      <c r="C292" t="s">
        <v>375</v>
      </c>
      <c r="D292" t="s">
        <v>385</v>
      </c>
      <c r="E292" s="2">
        <v>196.26</v>
      </c>
      <c r="G292" s="2">
        <v>-180472</v>
      </c>
    </row>
    <row r="293" spans="1:7" x14ac:dyDescent="0.2">
      <c r="A293" s="1">
        <v>244348</v>
      </c>
      <c r="B293" t="s">
        <v>371</v>
      </c>
      <c r="C293" t="s">
        <v>375</v>
      </c>
      <c r="D293" t="s">
        <v>386</v>
      </c>
      <c r="E293" s="2">
        <v>261.68</v>
      </c>
      <c r="G293" s="2">
        <v>-180210.32</v>
      </c>
    </row>
    <row r="294" spans="1:7" x14ac:dyDescent="0.2">
      <c r="A294" s="1">
        <v>244348</v>
      </c>
      <c r="B294" t="s">
        <v>371</v>
      </c>
      <c r="C294" t="s">
        <v>375</v>
      </c>
      <c r="D294" t="s">
        <v>387</v>
      </c>
      <c r="E294" s="2">
        <v>8825.23</v>
      </c>
      <c r="G294" s="2">
        <v>-171385.09</v>
      </c>
    </row>
    <row r="295" spans="1:7" x14ac:dyDescent="0.2">
      <c r="A295" s="1">
        <v>244348</v>
      </c>
      <c r="B295" t="s">
        <v>371</v>
      </c>
      <c r="C295" t="s">
        <v>375</v>
      </c>
      <c r="D295" t="s">
        <v>388</v>
      </c>
      <c r="E295" s="2">
        <v>196.26</v>
      </c>
      <c r="G295" s="2">
        <v>-171188.83</v>
      </c>
    </row>
    <row r="296" spans="1:7" x14ac:dyDescent="0.2">
      <c r="A296" s="1">
        <v>244348</v>
      </c>
      <c r="B296" t="s">
        <v>371</v>
      </c>
      <c r="C296" t="s">
        <v>375</v>
      </c>
      <c r="D296" t="s">
        <v>389</v>
      </c>
      <c r="E296" s="2">
        <v>65.42</v>
      </c>
      <c r="G296" s="2">
        <v>-171123.41</v>
      </c>
    </row>
    <row r="297" spans="1:7" x14ac:dyDescent="0.2">
      <c r="A297" s="1">
        <v>244348</v>
      </c>
      <c r="B297" t="s">
        <v>371</v>
      </c>
      <c r="C297" t="s">
        <v>375</v>
      </c>
      <c r="D297" t="s">
        <v>390</v>
      </c>
      <c r="E297" s="2">
        <v>196.26</v>
      </c>
      <c r="G297" s="2">
        <v>-170927.15</v>
      </c>
    </row>
    <row r="298" spans="1:7" x14ac:dyDescent="0.2">
      <c r="A298" s="1">
        <v>244348</v>
      </c>
      <c r="B298" t="s">
        <v>371</v>
      </c>
      <c r="C298" t="s">
        <v>375</v>
      </c>
      <c r="D298" t="s">
        <v>391</v>
      </c>
      <c r="E298" s="2">
        <v>196.26</v>
      </c>
      <c r="G298" s="2">
        <v>-170730.89</v>
      </c>
    </row>
    <row r="299" spans="1:7" x14ac:dyDescent="0.2">
      <c r="A299" s="1">
        <v>244348</v>
      </c>
      <c r="B299" t="s">
        <v>371</v>
      </c>
      <c r="C299" t="s">
        <v>375</v>
      </c>
      <c r="D299" t="s">
        <v>392</v>
      </c>
      <c r="E299" s="2">
        <v>130.84</v>
      </c>
      <c r="G299" s="2">
        <v>-170600.05</v>
      </c>
    </row>
    <row r="300" spans="1:7" x14ac:dyDescent="0.2">
      <c r="A300" s="1">
        <v>244348</v>
      </c>
      <c r="B300" t="s">
        <v>371</v>
      </c>
      <c r="C300" t="s">
        <v>375</v>
      </c>
      <c r="D300" t="s">
        <v>393</v>
      </c>
      <c r="E300" s="2">
        <v>196.26</v>
      </c>
      <c r="G300" s="2">
        <v>-170403.79</v>
      </c>
    </row>
    <row r="301" spans="1:7" x14ac:dyDescent="0.2">
      <c r="A301" s="1">
        <v>244348</v>
      </c>
      <c r="B301" t="s">
        <v>371</v>
      </c>
      <c r="C301" t="s">
        <v>375</v>
      </c>
      <c r="D301" t="s">
        <v>394</v>
      </c>
      <c r="E301" s="2">
        <v>2158.88</v>
      </c>
      <c r="G301" s="2">
        <v>-168244.91</v>
      </c>
    </row>
    <row r="302" spans="1:7" x14ac:dyDescent="0.2">
      <c r="A302" s="1">
        <v>244348</v>
      </c>
      <c r="B302" t="s">
        <v>371</v>
      </c>
      <c r="C302" t="s">
        <v>375</v>
      </c>
      <c r="D302" t="s">
        <v>395</v>
      </c>
      <c r="E302" s="2">
        <v>196.26</v>
      </c>
      <c r="G302" s="2">
        <v>-168048.65</v>
      </c>
    </row>
    <row r="303" spans="1:7" x14ac:dyDescent="0.2">
      <c r="A303" s="1">
        <v>244348</v>
      </c>
      <c r="B303" t="s">
        <v>371</v>
      </c>
      <c r="C303" t="s">
        <v>375</v>
      </c>
      <c r="D303" t="s">
        <v>396</v>
      </c>
      <c r="E303" s="2">
        <v>1962.62</v>
      </c>
      <c r="G303" s="2">
        <v>-166086.03</v>
      </c>
    </row>
    <row r="304" spans="1:7" x14ac:dyDescent="0.2">
      <c r="A304" s="1">
        <v>244348</v>
      </c>
      <c r="B304" t="s">
        <v>371</v>
      </c>
      <c r="C304" t="s">
        <v>375</v>
      </c>
      <c r="D304" t="s">
        <v>397</v>
      </c>
      <c r="E304" s="2">
        <v>65.42</v>
      </c>
      <c r="G304" s="2">
        <v>-166020.60999999999</v>
      </c>
    </row>
    <row r="305" spans="1:7" x14ac:dyDescent="0.2">
      <c r="A305" s="1">
        <v>244348</v>
      </c>
      <c r="B305" t="s">
        <v>371</v>
      </c>
      <c r="C305" t="s">
        <v>375</v>
      </c>
      <c r="D305" t="s">
        <v>398</v>
      </c>
      <c r="E305" s="2">
        <v>327.10000000000002</v>
      </c>
      <c r="G305" s="2">
        <v>-165693.51</v>
      </c>
    </row>
    <row r="306" spans="1:7" x14ac:dyDescent="0.2">
      <c r="A306" s="1">
        <v>244348</v>
      </c>
      <c r="B306" t="s">
        <v>371</v>
      </c>
      <c r="C306" t="s">
        <v>375</v>
      </c>
      <c r="D306" t="s">
        <v>399</v>
      </c>
      <c r="E306" s="2">
        <v>196.26</v>
      </c>
      <c r="G306" s="2">
        <v>-165497.25</v>
      </c>
    </row>
    <row r="307" spans="1:7" x14ac:dyDescent="0.2">
      <c r="A307" s="1">
        <v>244348</v>
      </c>
      <c r="B307" t="s">
        <v>371</v>
      </c>
      <c r="C307" t="s">
        <v>375</v>
      </c>
      <c r="D307" t="s">
        <v>400</v>
      </c>
      <c r="E307" s="2">
        <v>196.26</v>
      </c>
      <c r="G307" s="2">
        <v>-165300.99</v>
      </c>
    </row>
    <row r="308" spans="1:7" x14ac:dyDescent="0.2">
      <c r="A308" s="1">
        <v>244348</v>
      </c>
      <c r="B308" t="s">
        <v>371</v>
      </c>
      <c r="C308" t="s">
        <v>375</v>
      </c>
      <c r="D308" t="s">
        <v>401</v>
      </c>
      <c r="E308" s="2">
        <v>654.21</v>
      </c>
      <c r="G308" s="2">
        <v>-164646.78</v>
      </c>
    </row>
    <row r="309" spans="1:7" x14ac:dyDescent="0.2">
      <c r="A309" s="1">
        <v>244348</v>
      </c>
      <c r="B309" t="s">
        <v>371</v>
      </c>
      <c r="C309" t="s">
        <v>375</v>
      </c>
      <c r="D309" t="s">
        <v>402</v>
      </c>
      <c r="E309" s="2">
        <v>65.42</v>
      </c>
      <c r="G309" s="2">
        <v>-164581.35999999999</v>
      </c>
    </row>
    <row r="310" spans="1:7" x14ac:dyDescent="0.2">
      <c r="A310" s="1">
        <v>244348</v>
      </c>
      <c r="B310" t="s">
        <v>371</v>
      </c>
      <c r="C310" t="s">
        <v>375</v>
      </c>
      <c r="D310" t="s">
        <v>397</v>
      </c>
      <c r="E310" s="2">
        <v>65.42</v>
      </c>
      <c r="G310" s="2">
        <v>-164515.94</v>
      </c>
    </row>
    <row r="311" spans="1:7" x14ac:dyDescent="0.2">
      <c r="A311" s="1">
        <v>244348</v>
      </c>
      <c r="B311" t="s">
        <v>371</v>
      </c>
      <c r="C311" t="s">
        <v>375</v>
      </c>
      <c r="D311" t="s">
        <v>403</v>
      </c>
      <c r="E311" s="2">
        <v>196.26</v>
      </c>
      <c r="G311" s="2">
        <v>-164319.67999999999</v>
      </c>
    </row>
    <row r="312" spans="1:7" x14ac:dyDescent="0.2">
      <c r="A312" s="1">
        <v>244348</v>
      </c>
      <c r="B312" t="s">
        <v>371</v>
      </c>
      <c r="C312" t="s">
        <v>375</v>
      </c>
      <c r="D312" t="s">
        <v>404</v>
      </c>
      <c r="E312" s="2">
        <v>327.10000000000002</v>
      </c>
      <c r="G312" s="2">
        <v>-163992.57999999999</v>
      </c>
    </row>
    <row r="313" spans="1:7" x14ac:dyDescent="0.2">
      <c r="A313" s="1">
        <v>244348</v>
      </c>
      <c r="B313" t="s">
        <v>371</v>
      </c>
      <c r="C313" t="s">
        <v>375</v>
      </c>
      <c r="D313" t="s">
        <v>405</v>
      </c>
      <c r="E313" s="2">
        <v>196.26</v>
      </c>
      <c r="G313" s="2">
        <v>-163796.32</v>
      </c>
    </row>
    <row r="314" spans="1:7" x14ac:dyDescent="0.2">
      <c r="A314" s="1">
        <v>244348</v>
      </c>
      <c r="B314" t="s">
        <v>371</v>
      </c>
      <c r="C314" t="s">
        <v>375</v>
      </c>
      <c r="D314" t="s">
        <v>406</v>
      </c>
      <c r="E314" s="2">
        <v>647.66</v>
      </c>
      <c r="G314" s="2">
        <v>-163148.66</v>
      </c>
    </row>
    <row r="315" spans="1:7" x14ac:dyDescent="0.2">
      <c r="A315" s="1">
        <v>244348</v>
      </c>
      <c r="B315" t="s">
        <v>371</v>
      </c>
      <c r="C315" t="s">
        <v>375</v>
      </c>
      <c r="D315" t="s">
        <v>407</v>
      </c>
      <c r="E315" s="2">
        <v>228.97</v>
      </c>
      <c r="G315" s="2">
        <v>-162919.69</v>
      </c>
    </row>
    <row r="316" spans="1:7" x14ac:dyDescent="0.2">
      <c r="A316" s="1">
        <v>244348</v>
      </c>
      <c r="B316" t="s">
        <v>371</v>
      </c>
      <c r="C316" t="s">
        <v>375</v>
      </c>
      <c r="D316" t="s">
        <v>408</v>
      </c>
      <c r="E316" s="2">
        <v>196.26</v>
      </c>
      <c r="G316" s="2">
        <v>-162723.43</v>
      </c>
    </row>
    <row r="317" spans="1:7" x14ac:dyDescent="0.2">
      <c r="A317" s="1">
        <v>244348</v>
      </c>
      <c r="B317" t="s">
        <v>371</v>
      </c>
      <c r="C317" t="s">
        <v>375</v>
      </c>
      <c r="D317" t="s">
        <v>409</v>
      </c>
      <c r="E317" s="2">
        <v>327.10000000000002</v>
      </c>
      <c r="G317" s="2">
        <v>-162396.32999999999</v>
      </c>
    </row>
    <row r="318" spans="1:7" x14ac:dyDescent="0.2">
      <c r="A318" s="1">
        <v>244348</v>
      </c>
      <c r="B318" t="s">
        <v>371</v>
      </c>
      <c r="C318" t="s">
        <v>375</v>
      </c>
      <c r="D318" t="s">
        <v>410</v>
      </c>
      <c r="E318" s="2">
        <v>130.84</v>
      </c>
      <c r="G318" s="2">
        <v>-162265.49</v>
      </c>
    </row>
    <row r="319" spans="1:7" x14ac:dyDescent="0.2">
      <c r="A319" s="1">
        <v>244348</v>
      </c>
      <c r="B319" t="s">
        <v>371</v>
      </c>
      <c r="C319" t="s">
        <v>375</v>
      </c>
      <c r="D319" t="s">
        <v>411</v>
      </c>
      <c r="E319" s="2">
        <v>654.21</v>
      </c>
      <c r="G319" s="2">
        <v>-161611.28</v>
      </c>
    </row>
    <row r="320" spans="1:7" x14ac:dyDescent="0.2">
      <c r="A320" s="1">
        <v>244348</v>
      </c>
      <c r="B320" t="s">
        <v>371</v>
      </c>
      <c r="C320" t="s">
        <v>375</v>
      </c>
      <c r="D320" t="s">
        <v>412</v>
      </c>
      <c r="E320" s="2">
        <v>1962.62</v>
      </c>
      <c r="G320" s="2">
        <v>-159648.66</v>
      </c>
    </row>
    <row r="321" spans="1:7" x14ac:dyDescent="0.2">
      <c r="A321" s="1">
        <v>244348</v>
      </c>
      <c r="B321" t="s">
        <v>371</v>
      </c>
      <c r="C321" t="s">
        <v>375</v>
      </c>
      <c r="D321" t="s">
        <v>413</v>
      </c>
      <c r="E321" s="2">
        <v>196.26</v>
      </c>
      <c r="G321" s="2">
        <v>-159452.4</v>
      </c>
    </row>
    <row r="322" spans="1:7" x14ac:dyDescent="0.2">
      <c r="A322" s="1">
        <v>244348</v>
      </c>
      <c r="B322" t="s">
        <v>371</v>
      </c>
      <c r="C322" t="s">
        <v>375</v>
      </c>
      <c r="D322" t="s">
        <v>414</v>
      </c>
      <c r="E322" s="2">
        <v>327.10000000000002</v>
      </c>
      <c r="G322" s="2">
        <v>-159125.29999999999</v>
      </c>
    </row>
    <row r="323" spans="1:7" x14ac:dyDescent="0.2">
      <c r="A323" s="1">
        <v>244348</v>
      </c>
      <c r="B323" t="s">
        <v>371</v>
      </c>
      <c r="C323" t="s">
        <v>375</v>
      </c>
      <c r="D323" t="s">
        <v>401</v>
      </c>
      <c r="E323" s="2">
        <v>228.97</v>
      </c>
      <c r="G323" s="2">
        <v>-158896.32999999999</v>
      </c>
    </row>
    <row r="324" spans="1:7" x14ac:dyDescent="0.2">
      <c r="A324" s="1">
        <v>244348</v>
      </c>
      <c r="B324" t="s">
        <v>371</v>
      </c>
      <c r="C324" t="s">
        <v>375</v>
      </c>
      <c r="D324" t="s">
        <v>415</v>
      </c>
      <c r="E324" s="2">
        <v>196.26</v>
      </c>
      <c r="G324" s="2">
        <v>-158700.07</v>
      </c>
    </row>
    <row r="325" spans="1:7" x14ac:dyDescent="0.2">
      <c r="A325" s="1">
        <v>244348</v>
      </c>
      <c r="B325" t="s">
        <v>371</v>
      </c>
      <c r="C325" t="s">
        <v>375</v>
      </c>
      <c r="D325" t="s">
        <v>416</v>
      </c>
      <c r="E325" s="2">
        <v>65.42</v>
      </c>
      <c r="G325" s="2">
        <v>-158634.65</v>
      </c>
    </row>
    <row r="326" spans="1:7" x14ac:dyDescent="0.2">
      <c r="A326" s="1">
        <v>244348</v>
      </c>
      <c r="B326" t="s">
        <v>371</v>
      </c>
      <c r="C326" t="s">
        <v>375</v>
      </c>
      <c r="D326" t="s">
        <v>417</v>
      </c>
      <c r="E326" s="2">
        <v>196.26</v>
      </c>
      <c r="G326" s="2">
        <v>-158438.39000000001</v>
      </c>
    </row>
    <row r="327" spans="1:7" x14ac:dyDescent="0.2">
      <c r="A327" s="1">
        <v>244348</v>
      </c>
      <c r="B327" t="s">
        <v>371</v>
      </c>
      <c r="C327" t="s">
        <v>375</v>
      </c>
      <c r="D327" t="s">
        <v>418</v>
      </c>
      <c r="E327" s="2">
        <v>196.26</v>
      </c>
      <c r="G327" s="2">
        <v>-158242.13</v>
      </c>
    </row>
    <row r="328" spans="1:7" x14ac:dyDescent="0.2">
      <c r="A328" s="1">
        <v>244348</v>
      </c>
      <c r="B328" t="s">
        <v>371</v>
      </c>
      <c r="C328" t="s">
        <v>375</v>
      </c>
      <c r="D328" t="s">
        <v>419</v>
      </c>
      <c r="E328" s="2">
        <v>196.26</v>
      </c>
      <c r="G328" s="2">
        <v>-158045.87</v>
      </c>
    </row>
    <row r="329" spans="1:7" x14ac:dyDescent="0.2">
      <c r="A329" s="1">
        <v>244348</v>
      </c>
      <c r="B329" t="s">
        <v>371</v>
      </c>
      <c r="C329" t="s">
        <v>375</v>
      </c>
      <c r="D329" t="s">
        <v>420</v>
      </c>
      <c r="E329" s="2">
        <v>196.26</v>
      </c>
      <c r="G329" s="2">
        <v>-157849.60999999999</v>
      </c>
    </row>
    <row r="330" spans="1:7" x14ac:dyDescent="0.2">
      <c r="A330" s="1">
        <v>244348</v>
      </c>
      <c r="B330" t="s">
        <v>371</v>
      </c>
      <c r="C330" t="s">
        <v>375</v>
      </c>
      <c r="D330" t="s">
        <v>421</v>
      </c>
      <c r="E330" s="2">
        <v>196.26</v>
      </c>
      <c r="G330" s="2">
        <v>-157653.35</v>
      </c>
    </row>
    <row r="331" spans="1:7" x14ac:dyDescent="0.2">
      <c r="A331" s="1">
        <v>244348</v>
      </c>
      <c r="B331" t="s">
        <v>371</v>
      </c>
      <c r="C331" t="s">
        <v>375</v>
      </c>
      <c r="D331" t="s">
        <v>422</v>
      </c>
      <c r="E331" s="2">
        <v>654.21</v>
      </c>
      <c r="G331" s="2">
        <v>-156999.14000000001</v>
      </c>
    </row>
    <row r="332" spans="1:7" x14ac:dyDescent="0.2">
      <c r="A332" s="1">
        <v>244348</v>
      </c>
      <c r="B332" t="s">
        <v>371</v>
      </c>
      <c r="C332" t="s">
        <v>375</v>
      </c>
      <c r="D332" t="s">
        <v>423</v>
      </c>
      <c r="E332" s="2">
        <v>2158.88</v>
      </c>
      <c r="G332" s="2">
        <v>-154840.26</v>
      </c>
    </row>
    <row r="333" spans="1:7" x14ac:dyDescent="0.2">
      <c r="A333" s="1">
        <v>244348</v>
      </c>
      <c r="B333" t="s">
        <v>371</v>
      </c>
      <c r="C333" t="s">
        <v>375</v>
      </c>
      <c r="D333" t="s">
        <v>424</v>
      </c>
      <c r="E333" s="2">
        <v>850.47</v>
      </c>
      <c r="G333" s="2">
        <v>-153989.79</v>
      </c>
    </row>
    <row r="334" spans="1:7" x14ac:dyDescent="0.2">
      <c r="A334" s="1">
        <v>244348</v>
      </c>
      <c r="B334" t="s">
        <v>371</v>
      </c>
      <c r="C334" t="s">
        <v>375</v>
      </c>
      <c r="D334" t="s">
        <v>425</v>
      </c>
      <c r="E334" s="2">
        <v>196.26</v>
      </c>
      <c r="G334" s="2">
        <v>-153793.53</v>
      </c>
    </row>
    <row r="335" spans="1:7" x14ac:dyDescent="0.2">
      <c r="A335" s="1">
        <v>244348</v>
      </c>
      <c r="B335" t="s">
        <v>371</v>
      </c>
      <c r="C335" t="s">
        <v>375</v>
      </c>
      <c r="D335" t="s">
        <v>426</v>
      </c>
      <c r="E335" s="2">
        <v>327.10000000000002</v>
      </c>
      <c r="G335" s="2">
        <v>-153466.43</v>
      </c>
    </row>
    <row r="336" spans="1:7" x14ac:dyDescent="0.2">
      <c r="A336" s="1">
        <v>244348</v>
      </c>
      <c r="B336" t="s">
        <v>371</v>
      </c>
      <c r="C336" t="s">
        <v>375</v>
      </c>
      <c r="D336" t="s">
        <v>427</v>
      </c>
      <c r="E336" s="2">
        <v>196.26</v>
      </c>
      <c r="G336" s="2">
        <v>-153270.17000000001</v>
      </c>
    </row>
    <row r="337" spans="1:7" x14ac:dyDescent="0.2">
      <c r="A337" s="1">
        <v>244348</v>
      </c>
      <c r="B337" t="s">
        <v>371</v>
      </c>
      <c r="C337" t="s">
        <v>375</v>
      </c>
      <c r="D337" t="s">
        <v>428</v>
      </c>
      <c r="E337" s="2">
        <v>65.42</v>
      </c>
      <c r="G337" s="2">
        <v>-153204.75</v>
      </c>
    </row>
    <row r="338" spans="1:7" x14ac:dyDescent="0.2">
      <c r="A338" s="1">
        <v>244348</v>
      </c>
      <c r="B338" t="s">
        <v>371</v>
      </c>
      <c r="C338" t="s">
        <v>375</v>
      </c>
      <c r="D338" t="s">
        <v>429</v>
      </c>
      <c r="E338" s="2">
        <v>196.26</v>
      </c>
      <c r="G338" s="2">
        <v>-153008.49</v>
      </c>
    </row>
    <row r="339" spans="1:7" x14ac:dyDescent="0.2">
      <c r="A339" s="1">
        <v>244348</v>
      </c>
      <c r="B339" t="s">
        <v>371</v>
      </c>
      <c r="C339" t="s">
        <v>375</v>
      </c>
      <c r="D339" t="s">
        <v>430</v>
      </c>
      <c r="E339" s="2">
        <v>654.21</v>
      </c>
      <c r="G339" s="2">
        <v>-152354.28</v>
      </c>
    </row>
    <row r="340" spans="1:7" x14ac:dyDescent="0.2">
      <c r="A340" s="1">
        <v>244348</v>
      </c>
      <c r="B340" t="s">
        <v>371</v>
      </c>
      <c r="C340" t="s">
        <v>375</v>
      </c>
      <c r="D340" t="s">
        <v>431</v>
      </c>
      <c r="E340" s="2">
        <v>65.42</v>
      </c>
      <c r="G340" s="2">
        <v>-152288.85999999999</v>
      </c>
    </row>
    <row r="341" spans="1:7" x14ac:dyDescent="0.2">
      <c r="A341" s="1">
        <v>244348</v>
      </c>
      <c r="B341" t="s">
        <v>371</v>
      </c>
      <c r="C341" t="s">
        <v>375</v>
      </c>
      <c r="D341" t="s">
        <v>432</v>
      </c>
      <c r="E341" s="2">
        <v>196.26</v>
      </c>
      <c r="G341" s="2">
        <v>-152092.6</v>
      </c>
    </row>
    <row r="342" spans="1:7" x14ac:dyDescent="0.2">
      <c r="A342" s="1">
        <v>244348</v>
      </c>
      <c r="B342" t="s">
        <v>371</v>
      </c>
      <c r="C342" t="s">
        <v>375</v>
      </c>
      <c r="D342" t="s">
        <v>433</v>
      </c>
      <c r="E342" s="2">
        <v>65.42</v>
      </c>
      <c r="G342" s="2">
        <v>-152027.18</v>
      </c>
    </row>
    <row r="343" spans="1:7" x14ac:dyDescent="0.2">
      <c r="A343" s="1">
        <v>244348</v>
      </c>
      <c r="B343" t="s">
        <v>371</v>
      </c>
      <c r="C343" t="s">
        <v>375</v>
      </c>
      <c r="D343" t="s">
        <v>434</v>
      </c>
      <c r="E343" s="2">
        <v>196.26</v>
      </c>
      <c r="G343" s="2">
        <v>-151830.92000000001</v>
      </c>
    </row>
    <row r="344" spans="1:7" x14ac:dyDescent="0.2">
      <c r="A344" s="1">
        <v>244348</v>
      </c>
      <c r="B344" t="s">
        <v>371</v>
      </c>
      <c r="C344" t="s">
        <v>375</v>
      </c>
      <c r="D344" t="s">
        <v>435</v>
      </c>
      <c r="E344" s="2">
        <v>327.10000000000002</v>
      </c>
      <c r="G344" s="2">
        <v>-151503.82</v>
      </c>
    </row>
    <row r="345" spans="1:7" x14ac:dyDescent="0.2">
      <c r="A345" s="1">
        <v>244348</v>
      </c>
      <c r="B345" t="s">
        <v>371</v>
      </c>
      <c r="C345" t="s">
        <v>375</v>
      </c>
      <c r="D345" t="s">
        <v>436</v>
      </c>
      <c r="E345" s="2">
        <v>196.26</v>
      </c>
      <c r="G345" s="2">
        <v>-151307.56</v>
      </c>
    </row>
    <row r="346" spans="1:7" x14ac:dyDescent="0.2">
      <c r="A346" s="1">
        <v>244348</v>
      </c>
      <c r="B346" t="s">
        <v>371</v>
      </c>
      <c r="C346" t="s">
        <v>375</v>
      </c>
      <c r="D346" t="s">
        <v>437</v>
      </c>
      <c r="E346" s="2">
        <v>196.26</v>
      </c>
      <c r="G346" s="2">
        <v>-151111.29999999999</v>
      </c>
    </row>
    <row r="347" spans="1:7" x14ac:dyDescent="0.2">
      <c r="A347" s="1">
        <v>244348</v>
      </c>
      <c r="B347" t="s">
        <v>371</v>
      </c>
      <c r="C347" t="s">
        <v>375</v>
      </c>
      <c r="D347" t="s">
        <v>438</v>
      </c>
      <c r="E347" s="2">
        <v>327.10000000000002</v>
      </c>
      <c r="G347" s="2">
        <v>-150784.20000000001</v>
      </c>
    </row>
    <row r="348" spans="1:7" x14ac:dyDescent="0.2">
      <c r="A348" s="1">
        <v>244348</v>
      </c>
      <c r="B348" t="s">
        <v>371</v>
      </c>
      <c r="C348" t="s">
        <v>375</v>
      </c>
      <c r="D348" t="s">
        <v>439</v>
      </c>
      <c r="E348" s="2">
        <v>196.26</v>
      </c>
      <c r="G348" s="2">
        <v>-150587.94</v>
      </c>
    </row>
    <row r="349" spans="1:7" x14ac:dyDescent="0.2">
      <c r="A349" s="1">
        <v>244348</v>
      </c>
      <c r="B349" t="s">
        <v>371</v>
      </c>
      <c r="C349" t="s">
        <v>375</v>
      </c>
      <c r="D349" t="s">
        <v>440</v>
      </c>
      <c r="E349" s="2">
        <v>65.42</v>
      </c>
      <c r="G349" s="2">
        <v>-150522.51999999999</v>
      </c>
    </row>
    <row r="350" spans="1:7" x14ac:dyDescent="0.2">
      <c r="A350" s="1">
        <v>244348</v>
      </c>
      <c r="B350" t="s">
        <v>371</v>
      </c>
      <c r="C350" t="s">
        <v>375</v>
      </c>
      <c r="D350" t="s">
        <v>441</v>
      </c>
      <c r="E350" s="2">
        <v>196.26</v>
      </c>
      <c r="G350" s="2">
        <v>-150326.26</v>
      </c>
    </row>
    <row r="351" spans="1:7" x14ac:dyDescent="0.2">
      <c r="A351" s="1">
        <v>244348</v>
      </c>
      <c r="B351" t="s">
        <v>371</v>
      </c>
      <c r="C351" t="s">
        <v>375</v>
      </c>
      <c r="D351" t="s">
        <v>442</v>
      </c>
      <c r="E351" s="2">
        <v>65.42</v>
      </c>
      <c r="G351" s="2">
        <v>-150260.84</v>
      </c>
    </row>
    <row r="352" spans="1:7" x14ac:dyDescent="0.2">
      <c r="A352" s="1">
        <v>244348</v>
      </c>
      <c r="B352" t="s">
        <v>371</v>
      </c>
      <c r="C352" t="s">
        <v>375</v>
      </c>
      <c r="D352" t="s">
        <v>443</v>
      </c>
      <c r="E352" s="2">
        <v>65.42</v>
      </c>
      <c r="G352" s="2">
        <v>-150195.42000000001</v>
      </c>
    </row>
    <row r="353" spans="1:7" x14ac:dyDescent="0.2">
      <c r="A353" s="1">
        <v>244348</v>
      </c>
      <c r="B353" t="s">
        <v>371</v>
      </c>
      <c r="C353" t="s">
        <v>375</v>
      </c>
      <c r="D353" t="s">
        <v>444</v>
      </c>
      <c r="E353" s="2">
        <v>130.84</v>
      </c>
      <c r="G353" s="2">
        <v>-150064.57999999999</v>
      </c>
    </row>
    <row r="354" spans="1:7" x14ac:dyDescent="0.2">
      <c r="A354" s="1">
        <v>244348</v>
      </c>
      <c r="B354" t="s">
        <v>371</v>
      </c>
      <c r="C354" t="s">
        <v>375</v>
      </c>
      <c r="D354" t="s">
        <v>445</v>
      </c>
      <c r="E354" s="2">
        <v>196.26</v>
      </c>
      <c r="G354" s="2">
        <v>-149868.32</v>
      </c>
    </row>
    <row r="355" spans="1:7" x14ac:dyDescent="0.2">
      <c r="A355" s="1">
        <v>244348</v>
      </c>
      <c r="B355" t="s">
        <v>371</v>
      </c>
      <c r="C355" t="s">
        <v>375</v>
      </c>
      <c r="D355" t="s">
        <v>446</v>
      </c>
      <c r="E355" s="2">
        <v>130.84</v>
      </c>
      <c r="G355" s="2">
        <v>-149737.48000000001</v>
      </c>
    </row>
    <row r="356" spans="1:7" x14ac:dyDescent="0.2">
      <c r="A356" s="1">
        <v>244348</v>
      </c>
      <c r="B356" t="s">
        <v>371</v>
      </c>
      <c r="C356" t="s">
        <v>375</v>
      </c>
      <c r="D356" t="s">
        <v>447</v>
      </c>
      <c r="E356" s="2">
        <v>65.42</v>
      </c>
      <c r="G356" s="2">
        <v>-149672.06</v>
      </c>
    </row>
    <row r="357" spans="1:7" x14ac:dyDescent="0.2">
      <c r="A357" s="1">
        <v>244348</v>
      </c>
      <c r="B357" t="s">
        <v>371</v>
      </c>
      <c r="C357" t="s">
        <v>375</v>
      </c>
      <c r="D357" t="s">
        <v>448</v>
      </c>
      <c r="E357" s="2">
        <v>196.26</v>
      </c>
      <c r="G357" s="2">
        <v>-149475.79999999999</v>
      </c>
    </row>
    <row r="358" spans="1:7" x14ac:dyDescent="0.2">
      <c r="A358" s="1">
        <v>244348</v>
      </c>
      <c r="B358" t="s">
        <v>371</v>
      </c>
      <c r="C358" t="s">
        <v>375</v>
      </c>
      <c r="D358" t="s">
        <v>449</v>
      </c>
      <c r="E358" s="2">
        <v>196.26</v>
      </c>
      <c r="G358" s="2">
        <v>-149279.54</v>
      </c>
    </row>
    <row r="359" spans="1:7" x14ac:dyDescent="0.2">
      <c r="A359" s="1">
        <v>244348</v>
      </c>
      <c r="B359" t="s">
        <v>371</v>
      </c>
      <c r="C359" t="s">
        <v>375</v>
      </c>
      <c r="D359" t="s">
        <v>450</v>
      </c>
      <c r="E359" s="2">
        <v>654.21</v>
      </c>
      <c r="G359" s="2">
        <v>-148625.32999999999</v>
      </c>
    </row>
    <row r="360" spans="1:7" x14ac:dyDescent="0.2">
      <c r="A360" s="1">
        <v>244348</v>
      </c>
      <c r="B360" t="s">
        <v>371</v>
      </c>
      <c r="C360" t="s">
        <v>375</v>
      </c>
      <c r="D360" t="s">
        <v>451</v>
      </c>
      <c r="E360" s="2">
        <v>196.26</v>
      </c>
      <c r="G360" s="2">
        <v>-148429.07</v>
      </c>
    </row>
    <row r="361" spans="1:7" x14ac:dyDescent="0.2">
      <c r="A361" s="1">
        <v>244348</v>
      </c>
      <c r="B361" t="s">
        <v>371</v>
      </c>
      <c r="C361" t="s">
        <v>375</v>
      </c>
      <c r="D361" t="s">
        <v>452</v>
      </c>
      <c r="E361" s="2">
        <v>196.26</v>
      </c>
      <c r="G361" s="2">
        <v>-148232.81</v>
      </c>
    </row>
    <row r="362" spans="1:7" x14ac:dyDescent="0.2">
      <c r="A362" s="1">
        <v>244348</v>
      </c>
      <c r="B362" t="s">
        <v>371</v>
      </c>
      <c r="C362" t="s">
        <v>375</v>
      </c>
      <c r="D362" t="s">
        <v>453</v>
      </c>
      <c r="E362" s="2">
        <v>130.84</v>
      </c>
      <c r="G362" s="2">
        <v>-148101.97</v>
      </c>
    </row>
    <row r="363" spans="1:7" x14ac:dyDescent="0.2">
      <c r="A363" s="1">
        <v>244348</v>
      </c>
      <c r="B363" t="s">
        <v>371</v>
      </c>
      <c r="C363" t="s">
        <v>375</v>
      </c>
      <c r="D363" t="s">
        <v>454</v>
      </c>
      <c r="E363" s="2">
        <v>327.10000000000002</v>
      </c>
      <c r="G363" s="2">
        <v>-147774.87</v>
      </c>
    </row>
    <row r="364" spans="1:7" x14ac:dyDescent="0.2">
      <c r="A364" s="1">
        <v>244348</v>
      </c>
      <c r="B364" t="s">
        <v>371</v>
      </c>
      <c r="C364" t="s">
        <v>375</v>
      </c>
      <c r="D364" t="s">
        <v>455</v>
      </c>
      <c r="E364" s="2">
        <v>130.84</v>
      </c>
      <c r="G364" s="2">
        <v>-147644.03</v>
      </c>
    </row>
    <row r="365" spans="1:7" x14ac:dyDescent="0.2">
      <c r="A365" s="1">
        <v>244348</v>
      </c>
      <c r="B365" t="s">
        <v>371</v>
      </c>
      <c r="C365" t="s">
        <v>375</v>
      </c>
      <c r="D365" t="s">
        <v>456</v>
      </c>
      <c r="E365" s="2">
        <v>130.84</v>
      </c>
      <c r="G365" s="2">
        <v>-147513.19</v>
      </c>
    </row>
    <row r="366" spans="1:7" x14ac:dyDescent="0.2">
      <c r="A366" s="1">
        <v>244348</v>
      </c>
      <c r="B366" t="s">
        <v>371</v>
      </c>
      <c r="C366" t="s">
        <v>375</v>
      </c>
      <c r="D366" t="s">
        <v>457</v>
      </c>
      <c r="E366" s="2">
        <v>130.84</v>
      </c>
      <c r="G366" s="2">
        <v>-147382.35</v>
      </c>
    </row>
    <row r="367" spans="1:7" x14ac:dyDescent="0.2">
      <c r="A367" s="1">
        <v>244348</v>
      </c>
      <c r="B367" t="s">
        <v>371</v>
      </c>
      <c r="C367" t="s">
        <v>375</v>
      </c>
      <c r="D367" t="s">
        <v>458</v>
      </c>
      <c r="E367" s="2">
        <v>196.26</v>
      </c>
      <c r="G367" s="2">
        <v>-147186.09</v>
      </c>
    </row>
    <row r="368" spans="1:7" x14ac:dyDescent="0.2">
      <c r="A368" s="1">
        <v>244348</v>
      </c>
      <c r="B368" t="s">
        <v>371</v>
      </c>
      <c r="C368" t="s">
        <v>375</v>
      </c>
      <c r="D368" t="s">
        <v>459</v>
      </c>
      <c r="E368" s="2">
        <v>130.84</v>
      </c>
      <c r="G368" s="2">
        <v>-147055.25</v>
      </c>
    </row>
    <row r="369" spans="1:7" x14ac:dyDescent="0.2">
      <c r="A369" s="1">
        <v>244348</v>
      </c>
      <c r="B369" t="s">
        <v>371</v>
      </c>
      <c r="C369" t="s">
        <v>375</v>
      </c>
      <c r="D369" t="s">
        <v>460</v>
      </c>
      <c r="E369" s="2">
        <v>196.26</v>
      </c>
      <c r="G369" s="2">
        <v>-146858.99</v>
      </c>
    </row>
    <row r="370" spans="1:7" x14ac:dyDescent="0.2">
      <c r="A370" s="1">
        <v>244348</v>
      </c>
      <c r="B370" t="s">
        <v>371</v>
      </c>
      <c r="C370" t="s">
        <v>375</v>
      </c>
      <c r="D370" t="s">
        <v>461</v>
      </c>
      <c r="E370" s="2">
        <v>327.10000000000002</v>
      </c>
      <c r="G370" s="2">
        <v>-146531.89000000001</v>
      </c>
    </row>
    <row r="371" spans="1:7" x14ac:dyDescent="0.2">
      <c r="A371" s="1">
        <v>244348</v>
      </c>
      <c r="B371" t="s">
        <v>371</v>
      </c>
      <c r="C371" t="s">
        <v>375</v>
      </c>
      <c r="D371" t="s">
        <v>462</v>
      </c>
      <c r="E371" s="2">
        <v>196.26</v>
      </c>
      <c r="G371" s="2">
        <v>-146335.63</v>
      </c>
    </row>
    <row r="372" spans="1:7" x14ac:dyDescent="0.2">
      <c r="A372" s="1">
        <v>244348</v>
      </c>
      <c r="B372" t="s">
        <v>371</v>
      </c>
      <c r="C372" t="s">
        <v>375</v>
      </c>
      <c r="D372" t="s">
        <v>463</v>
      </c>
      <c r="E372" s="2">
        <v>196.26</v>
      </c>
      <c r="G372" s="2">
        <v>-146139.37</v>
      </c>
    </row>
    <row r="373" spans="1:7" x14ac:dyDescent="0.2">
      <c r="A373" s="1">
        <v>244348</v>
      </c>
      <c r="B373" t="s">
        <v>371</v>
      </c>
      <c r="C373" t="s">
        <v>375</v>
      </c>
      <c r="D373" t="s">
        <v>464</v>
      </c>
      <c r="E373" s="2">
        <v>196.26</v>
      </c>
      <c r="G373" s="2">
        <v>-145943.10999999999</v>
      </c>
    </row>
    <row r="374" spans="1:7" x14ac:dyDescent="0.2">
      <c r="A374" s="1">
        <v>244348</v>
      </c>
      <c r="B374" t="s">
        <v>371</v>
      </c>
      <c r="C374" t="s">
        <v>375</v>
      </c>
      <c r="D374" t="s">
        <v>465</v>
      </c>
      <c r="E374" s="2">
        <v>130.84</v>
      </c>
      <c r="G374" s="2">
        <v>-145812.26999999999</v>
      </c>
    </row>
    <row r="375" spans="1:7" x14ac:dyDescent="0.2">
      <c r="A375" s="1">
        <v>244348</v>
      </c>
      <c r="B375" t="s">
        <v>371</v>
      </c>
      <c r="C375" t="s">
        <v>375</v>
      </c>
      <c r="D375" t="s">
        <v>466</v>
      </c>
      <c r="E375" s="2">
        <v>65.42</v>
      </c>
      <c r="G375" s="2">
        <v>-145746.85</v>
      </c>
    </row>
    <row r="376" spans="1:7" x14ac:dyDescent="0.2">
      <c r="A376" s="1">
        <v>244348</v>
      </c>
      <c r="B376" t="s">
        <v>371</v>
      </c>
      <c r="C376" t="s">
        <v>375</v>
      </c>
      <c r="D376" t="s">
        <v>467</v>
      </c>
      <c r="E376" s="2">
        <v>65.42</v>
      </c>
      <c r="G376" s="2">
        <v>-145681.43</v>
      </c>
    </row>
    <row r="377" spans="1:7" x14ac:dyDescent="0.2">
      <c r="A377" s="1">
        <v>244348</v>
      </c>
      <c r="B377" t="s">
        <v>371</v>
      </c>
      <c r="C377" t="s">
        <v>375</v>
      </c>
      <c r="D377" t="s">
        <v>468</v>
      </c>
      <c r="E377" s="2">
        <v>65.42</v>
      </c>
      <c r="G377" s="2">
        <v>-145616.01</v>
      </c>
    </row>
    <row r="378" spans="1:7" x14ac:dyDescent="0.2">
      <c r="A378" s="1">
        <v>244348</v>
      </c>
      <c r="B378" t="s">
        <v>371</v>
      </c>
      <c r="C378" t="s">
        <v>375</v>
      </c>
      <c r="D378" t="s">
        <v>469</v>
      </c>
      <c r="E378" s="2">
        <v>196.26</v>
      </c>
      <c r="G378" s="2">
        <v>-145419.75</v>
      </c>
    </row>
    <row r="379" spans="1:7" x14ac:dyDescent="0.2">
      <c r="A379" s="1">
        <v>244348</v>
      </c>
      <c r="B379" t="s">
        <v>371</v>
      </c>
      <c r="C379" t="s">
        <v>375</v>
      </c>
      <c r="D379" t="s">
        <v>470</v>
      </c>
      <c r="E379" s="2">
        <v>1308.4100000000001</v>
      </c>
      <c r="G379" s="2">
        <v>-144111.34</v>
      </c>
    </row>
    <row r="380" spans="1:7" x14ac:dyDescent="0.2">
      <c r="A380" s="1">
        <v>244348</v>
      </c>
      <c r="B380" t="s">
        <v>371</v>
      </c>
      <c r="C380" t="s">
        <v>375</v>
      </c>
      <c r="D380" t="s">
        <v>471</v>
      </c>
      <c r="E380" s="2">
        <v>654.21</v>
      </c>
      <c r="G380" s="2">
        <v>-143457.13</v>
      </c>
    </row>
    <row r="381" spans="1:7" x14ac:dyDescent="0.2">
      <c r="A381" s="1">
        <v>244348</v>
      </c>
      <c r="B381" t="s">
        <v>371</v>
      </c>
      <c r="C381" t="s">
        <v>472</v>
      </c>
      <c r="D381" t="s">
        <v>473</v>
      </c>
      <c r="F381" s="2">
        <v>327.10000000000002</v>
      </c>
      <c r="G381" s="2">
        <v>-143784.23000000001</v>
      </c>
    </row>
    <row r="382" spans="1:7" x14ac:dyDescent="0.2">
      <c r="A382" s="1">
        <v>244348</v>
      </c>
      <c r="B382" t="s">
        <v>371</v>
      </c>
      <c r="C382" t="s">
        <v>472</v>
      </c>
      <c r="D382" t="s">
        <v>474</v>
      </c>
      <c r="F382" s="2">
        <v>196.26</v>
      </c>
      <c r="G382" s="2">
        <v>-143980.49</v>
      </c>
    </row>
    <row r="383" spans="1:7" x14ac:dyDescent="0.2">
      <c r="A383" s="1">
        <v>244348</v>
      </c>
      <c r="B383" t="s">
        <v>371</v>
      </c>
      <c r="C383" t="s">
        <v>472</v>
      </c>
      <c r="D383" t="s">
        <v>149</v>
      </c>
      <c r="F383" s="2">
        <v>654.21</v>
      </c>
      <c r="G383" s="2">
        <v>-144634.70000000001</v>
      </c>
    </row>
    <row r="384" spans="1:7" x14ac:dyDescent="0.2">
      <c r="A384" s="1">
        <v>244348</v>
      </c>
      <c r="B384" t="s">
        <v>371</v>
      </c>
      <c r="C384" t="s">
        <v>472</v>
      </c>
      <c r="D384" t="s">
        <v>149</v>
      </c>
      <c r="F384" s="2">
        <v>130.84</v>
      </c>
      <c r="G384" s="2">
        <v>-144765.54</v>
      </c>
    </row>
    <row r="385" spans="1:7" x14ac:dyDescent="0.2">
      <c r="A385" s="1">
        <v>244348</v>
      </c>
      <c r="B385" t="s">
        <v>371</v>
      </c>
      <c r="C385" t="s">
        <v>472</v>
      </c>
      <c r="D385" t="s">
        <v>377</v>
      </c>
      <c r="F385" s="2">
        <v>392.52</v>
      </c>
      <c r="G385" s="2">
        <v>-145158.06</v>
      </c>
    </row>
    <row r="386" spans="1:7" x14ac:dyDescent="0.2">
      <c r="A386" s="1">
        <v>244348</v>
      </c>
      <c r="B386" t="s">
        <v>371</v>
      </c>
      <c r="C386" t="s">
        <v>472</v>
      </c>
      <c r="D386" t="s">
        <v>475</v>
      </c>
      <c r="F386" s="2">
        <v>327.10000000000002</v>
      </c>
      <c r="G386" s="2">
        <v>-145485.16</v>
      </c>
    </row>
    <row r="387" spans="1:7" x14ac:dyDescent="0.2">
      <c r="A387" s="1">
        <v>244348</v>
      </c>
      <c r="B387" t="s">
        <v>371</v>
      </c>
      <c r="C387" t="s">
        <v>472</v>
      </c>
      <c r="D387" t="s">
        <v>476</v>
      </c>
      <c r="F387" s="2">
        <v>327.10000000000002</v>
      </c>
      <c r="G387" s="2">
        <v>-145812.26</v>
      </c>
    </row>
    <row r="388" spans="1:7" x14ac:dyDescent="0.2">
      <c r="A388" s="1">
        <v>244348</v>
      </c>
      <c r="B388" t="s">
        <v>371</v>
      </c>
      <c r="C388" t="s">
        <v>472</v>
      </c>
      <c r="D388" t="s">
        <v>387</v>
      </c>
      <c r="F388" s="2">
        <v>8825.23</v>
      </c>
      <c r="G388" s="2">
        <v>-154637.49</v>
      </c>
    </row>
    <row r="389" spans="1:7" x14ac:dyDescent="0.2">
      <c r="A389" s="1">
        <v>244348</v>
      </c>
      <c r="B389" t="s">
        <v>371</v>
      </c>
      <c r="C389" t="s">
        <v>472</v>
      </c>
      <c r="D389" t="s">
        <v>391</v>
      </c>
      <c r="F389" s="2">
        <v>196.26</v>
      </c>
      <c r="G389" s="2">
        <v>-154833.75</v>
      </c>
    </row>
    <row r="390" spans="1:7" x14ac:dyDescent="0.2">
      <c r="A390" s="1">
        <v>244348</v>
      </c>
      <c r="B390" t="s">
        <v>371</v>
      </c>
      <c r="C390" t="s">
        <v>472</v>
      </c>
      <c r="D390" t="s">
        <v>406</v>
      </c>
      <c r="F390" s="2">
        <v>647.66</v>
      </c>
      <c r="G390" s="2">
        <v>-155481.41</v>
      </c>
    </row>
    <row r="391" spans="1:7" x14ac:dyDescent="0.2">
      <c r="A391" s="1">
        <v>244348</v>
      </c>
      <c r="B391" t="s">
        <v>371</v>
      </c>
      <c r="C391" t="s">
        <v>472</v>
      </c>
      <c r="D391" t="s">
        <v>408</v>
      </c>
      <c r="F391" s="2">
        <v>196.26</v>
      </c>
      <c r="G391" s="2">
        <v>-155677.67000000001</v>
      </c>
    </row>
    <row r="392" spans="1:7" x14ac:dyDescent="0.2">
      <c r="A392" s="1">
        <v>244348</v>
      </c>
      <c r="B392" t="s">
        <v>371</v>
      </c>
      <c r="C392" t="s">
        <v>472</v>
      </c>
      <c r="D392" t="s">
        <v>401</v>
      </c>
      <c r="F392" s="2">
        <v>228.97</v>
      </c>
      <c r="G392" s="2">
        <v>-155906.64000000001</v>
      </c>
    </row>
    <row r="393" spans="1:7" x14ac:dyDescent="0.2">
      <c r="A393" s="1">
        <v>244348</v>
      </c>
      <c r="B393" t="s">
        <v>371</v>
      </c>
      <c r="C393" t="s">
        <v>472</v>
      </c>
      <c r="D393" t="s">
        <v>411</v>
      </c>
      <c r="F393" s="2">
        <v>654.21</v>
      </c>
      <c r="G393" s="2">
        <v>-156560.85</v>
      </c>
    </row>
    <row r="394" spans="1:7" x14ac:dyDescent="0.2">
      <c r="A394" s="1">
        <v>244348</v>
      </c>
      <c r="B394" t="s">
        <v>371</v>
      </c>
      <c r="C394" t="s">
        <v>472</v>
      </c>
      <c r="D394" t="s">
        <v>402</v>
      </c>
      <c r="F394" s="2">
        <v>327.10000000000002</v>
      </c>
      <c r="G394" s="2">
        <v>-156887.95000000001</v>
      </c>
    </row>
    <row r="395" spans="1:7" x14ac:dyDescent="0.2">
      <c r="A395" s="1">
        <v>244348</v>
      </c>
      <c r="B395" t="s">
        <v>371</v>
      </c>
      <c r="C395" t="s">
        <v>472</v>
      </c>
      <c r="D395" t="s">
        <v>402</v>
      </c>
      <c r="F395" s="2">
        <v>65.42</v>
      </c>
      <c r="G395" s="2">
        <v>-156953.37</v>
      </c>
    </row>
    <row r="396" spans="1:7" x14ac:dyDescent="0.2">
      <c r="A396" s="1">
        <v>244348</v>
      </c>
      <c r="B396" t="s">
        <v>371</v>
      </c>
      <c r="C396" t="s">
        <v>472</v>
      </c>
      <c r="D396" t="s">
        <v>392</v>
      </c>
      <c r="F396" s="2">
        <v>130.84</v>
      </c>
      <c r="G396" s="2">
        <v>-157084.21</v>
      </c>
    </row>
    <row r="397" spans="1:7" x14ac:dyDescent="0.2">
      <c r="A397" s="1">
        <v>244348</v>
      </c>
      <c r="B397" t="s">
        <v>371</v>
      </c>
      <c r="C397" t="s">
        <v>472</v>
      </c>
      <c r="D397" t="s">
        <v>470</v>
      </c>
      <c r="F397" s="2">
        <v>1308.4100000000001</v>
      </c>
      <c r="G397" s="2">
        <v>-158392.62</v>
      </c>
    </row>
    <row r="398" spans="1:7" x14ac:dyDescent="0.2">
      <c r="A398" s="1">
        <v>244348</v>
      </c>
      <c r="B398" t="s">
        <v>371</v>
      </c>
      <c r="C398" t="s">
        <v>472</v>
      </c>
      <c r="D398" t="s">
        <v>434</v>
      </c>
      <c r="F398" s="2">
        <v>196.26</v>
      </c>
      <c r="G398" s="2">
        <v>-158588.88</v>
      </c>
    </row>
    <row r="399" spans="1:7" x14ac:dyDescent="0.2">
      <c r="A399" s="1">
        <v>244348</v>
      </c>
      <c r="B399" t="s">
        <v>371</v>
      </c>
      <c r="C399" t="s">
        <v>472</v>
      </c>
      <c r="D399" t="s">
        <v>440</v>
      </c>
      <c r="F399" s="2">
        <v>65.42</v>
      </c>
      <c r="G399" s="2">
        <v>-158654.29999999999</v>
      </c>
    </row>
    <row r="400" spans="1:7" x14ac:dyDescent="0.2">
      <c r="A400" s="1">
        <v>244348</v>
      </c>
      <c r="B400" t="s">
        <v>371</v>
      </c>
      <c r="C400" t="s">
        <v>472</v>
      </c>
      <c r="D400" t="s">
        <v>376</v>
      </c>
      <c r="F400" s="2">
        <v>327.10000000000002</v>
      </c>
      <c r="G400" s="2">
        <v>-158981.4</v>
      </c>
    </row>
    <row r="401" spans="1:7" x14ac:dyDescent="0.2">
      <c r="A401" s="1">
        <v>244348</v>
      </c>
      <c r="B401" t="s">
        <v>371</v>
      </c>
      <c r="C401" t="s">
        <v>472</v>
      </c>
      <c r="D401" t="s">
        <v>437</v>
      </c>
      <c r="F401" s="2">
        <v>196.26</v>
      </c>
      <c r="G401" s="2">
        <v>-159177.66</v>
      </c>
    </row>
    <row r="402" spans="1:7" x14ac:dyDescent="0.2">
      <c r="A402" s="1">
        <v>244348</v>
      </c>
      <c r="B402" t="s">
        <v>371</v>
      </c>
      <c r="C402" t="s">
        <v>472</v>
      </c>
      <c r="D402" t="s">
        <v>436</v>
      </c>
      <c r="F402" s="2">
        <v>196.26</v>
      </c>
      <c r="G402" s="2">
        <v>-159373.92000000001</v>
      </c>
    </row>
    <row r="403" spans="1:7" x14ac:dyDescent="0.2">
      <c r="A403" s="1">
        <v>244348</v>
      </c>
      <c r="B403" t="s">
        <v>371</v>
      </c>
      <c r="C403" t="s">
        <v>472</v>
      </c>
      <c r="D403" t="s">
        <v>422</v>
      </c>
      <c r="F403" s="2">
        <v>654.21</v>
      </c>
      <c r="G403" s="2">
        <v>-160028.13</v>
      </c>
    </row>
    <row r="404" spans="1:7" x14ac:dyDescent="0.2">
      <c r="A404" s="1">
        <v>244348</v>
      </c>
      <c r="B404" t="s">
        <v>371</v>
      </c>
      <c r="C404" t="s">
        <v>472</v>
      </c>
      <c r="D404" t="s">
        <v>432</v>
      </c>
      <c r="F404" s="2">
        <v>196.26</v>
      </c>
      <c r="G404" s="2">
        <v>-160224.39000000001</v>
      </c>
    </row>
    <row r="405" spans="1:7" x14ac:dyDescent="0.2">
      <c r="A405" s="1">
        <v>244348</v>
      </c>
      <c r="B405" t="s">
        <v>371</v>
      </c>
      <c r="C405" t="s">
        <v>472</v>
      </c>
      <c r="D405" t="s">
        <v>477</v>
      </c>
      <c r="F405" s="2">
        <v>196.26</v>
      </c>
      <c r="G405" s="2">
        <v>-160420.65</v>
      </c>
    </row>
    <row r="406" spans="1:7" x14ac:dyDescent="0.2">
      <c r="A406" s="1">
        <v>244348</v>
      </c>
      <c r="B406" t="s">
        <v>371</v>
      </c>
      <c r="C406" t="s">
        <v>472</v>
      </c>
      <c r="D406" t="s">
        <v>478</v>
      </c>
      <c r="F406" s="2">
        <v>327.10000000000002</v>
      </c>
      <c r="G406" s="2">
        <v>-160747.75</v>
      </c>
    </row>
    <row r="407" spans="1:7" x14ac:dyDescent="0.2">
      <c r="A407" s="1">
        <v>244348</v>
      </c>
      <c r="B407" t="s">
        <v>371</v>
      </c>
      <c r="C407" t="s">
        <v>472</v>
      </c>
      <c r="D407" t="s">
        <v>479</v>
      </c>
      <c r="F407" s="2">
        <v>327.10000000000002</v>
      </c>
      <c r="G407" s="2">
        <v>-161074.85</v>
      </c>
    </row>
    <row r="408" spans="1:7" x14ac:dyDescent="0.2">
      <c r="A408" s="1">
        <v>244348</v>
      </c>
      <c r="B408" t="s">
        <v>371</v>
      </c>
      <c r="C408" t="s">
        <v>472</v>
      </c>
      <c r="D408" t="s">
        <v>395</v>
      </c>
      <c r="F408" s="2">
        <v>196.26</v>
      </c>
      <c r="G408" s="2">
        <v>-161271.10999999999</v>
      </c>
    </row>
    <row r="409" spans="1:7" x14ac:dyDescent="0.2">
      <c r="A409" s="1">
        <v>244348</v>
      </c>
      <c r="B409" t="s">
        <v>371</v>
      </c>
      <c r="C409" t="s">
        <v>472</v>
      </c>
      <c r="D409" t="s">
        <v>377</v>
      </c>
      <c r="F409" s="2">
        <v>654.21</v>
      </c>
      <c r="G409" s="2">
        <v>-161925.32</v>
      </c>
    </row>
    <row r="410" spans="1:7" x14ac:dyDescent="0.2">
      <c r="A410" s="1">
        <v>244348</v>
      </c>
      <c r="B410" t="s">
        <v>371</v>
      </c>
      <c r="C410" t="s">
        <v>472</v>
      </c>
      <c r="D410" t="s">
        <v>393</v>
      </c>
      <c r="F410" s="2">
        <v>196.26</v>
      </c>
      <c r="G410" s="2">
        <v>-162121.57999999999</v>
      </c>
    </row>
    <row r="411" spans="1:7" x14ac:dyDescent="0.2">
      <c r="A411" s="1">
        <v>244348</v>
      </c>
      <c r="B411" t="s">
        <v>371</v>
      </c>
      <c r="C411" t="s">
        <v>472</v>
      </c>
      <c r="D411" t="s">
        <v>386</v>
      </c>
      <c r="F411" s="2">
        <v>261.68</v>
      </c>
      <c r="G411" s="2">
        <v>-162383.26</v>
      </c>
    </row>
    <row r="412" spans="1:7" x14ac:dyDescent="0.2">
      <c r="A412" s="1">
        <v>244348</v>
      </c>
      <c r="B412" t="s">
        <v>371</v>
      </c>
      <c r="C412" t="s">
        <v>472</v>
      </c>
      <c r="D412" t="s">
        <v>384</v>
      </c>
      <c r="F412" s="2">
        <v>65.42</v>
      </c>
      <c r="G412" s="2">
        <v>-162448.68</v>
      </c>
    </row>
    <row r="413" spans="1:7" x14ac:dyDescent="0.2">
      <c r="A413" s="1">
        <v>244348</v>
      </c>
      <c r="B413" t="s">
        <v>371</v>
      </c>
      <c r="C413" t="s">
        <v>472</v>
      </c>
      <c r="D413" t="s">
        <v>410</v>
      </c>
      <c r="F413" s="2">
        <v>130.84</v>
      </c>
      <c r="G413" s="2">
        <v>-162579.51999999999</v>
      </c>
    </row>
    <row r="414" spans="1:7" x14ac:dyDescent="0.2">
      <c r="A414" s="1">
        <v>244348</v>
      </c>
      <c r="B414" t="s">
        <v>371</v>
      </c>
      <c r="C414" t="s">
        <v>472</v>
      </c>
      <c r="D414" t="s">
        <v>480</v>
      </c>
      <c r="F414" s="2">
        <v>196.26</v>
      </c>
      <c r="G414" s="2">
        <v>-162775.78</v>
      </c>
    </row>
    <row r="415" spans="1:7" x14ac:dyDescent="0.2">
      <c r="A415" s="1">
        <v>244348</v>
      </c>
      <c r="B415" t="s">
        <v>371</v>
      </c>
      <c r="C415" t="s">
        <v>472</v>
      </c>
      <c r="D415" t="s">
        <v>421</v>
      </c>
      <c r="F415" s="2">
        <v>196.26</v>
      </c>
      <c r="G415" s="2">
        <v>-162972.04</v>
      </c>
    </row>
    <row r="416" spans="1:7" x14ac:dyDescent="0.2">
      <c r="A416" s="1">
        <v>244348</v>
      </c>
      <c r="B416" t="s">
        <v>371</v>
      </c>
      <c r="C416" t="s">
        <v>472</v>
      </c>
      <c r="D416" t="s">
        <v>383</v>
      </c>
      <c r="F416" s="2">
        <v>196.26</v>
      </c>
      <c r="G416" s="2">
        <v>-163168.29999999999</v>
      </c>
    </row>
    <row r="417" spans="1:7" x14ac:dyDescent="0.2">
      <c r="A417" s="1">
        <v>244348</v>
      </c>
      <c r="B417" t="s">
        <v>371</v>
      </c>
      <c r="C417" t="s">
        <v>472</v>
      </c>
      <c r="D417" t="s">
        <v>418</v>
      </c>
      <c r="F417" s="2">
        <v>196.26</v>
      </c>
      <c r="G417" s="2">
        <v>-163364.56</v>
      </c>
    </row>
    <row r="418" spans="1:7" x14ac:dyDescent="0.2">
      <c r="A418" s="1">
        <v>244348</v>
      </c>
      <c r="B418" t="s">
        <v>371</v>
      </c>
      <c r="C418" t="s">
        <v>472</v>
      </c>
      <c r="D418" t="s">
        <v>416</v>
      </c>
      <c r="F418" s="2">
        <v>65.42</v>
      </c>
      <c r="G418" s="2">
        <v>-163429.98000000001</v>
      </c>
    </row>
    <row r="419" spans="1:7" x14ac:dyDescent="0.2">
      <c r="A419" s="1">
        <v>244348</v>
      </c>
      <c r="B419" t="s">
        <v>371</v>
      </c>
      <c r="C419" t="s">
        <v>472</v>
      </c>
      <c r="D419" t="s">
        <v>415</v>
      </c>
      <c r="F419" s="2">
        <v>196.26</v>
      </c>
      <c r="G419" s="2">
        <v>-163626.23999999999</v>
      </c>
    </row>
    <row r="420" spans="1:7" x14ac:dyDescent="0.2">
      <c r="A420" s="1">
        <v>244348</v>
      </c>
      <c r="B420" t="s">
        <v>371</v>
      </c>
      <c r="C420" t="s">
        <v>472</v>
      </c>
      <c r="D420" t="s">
        <v>401</v>
      </c>
      <c r="F420" s="2">
        <v>654.21</v>
      </c>
      <c r="G420" s="2">
        <v>-164280.45000000001</v>
      </c>
    </row>
    <row r="421" spans="1:7" x14ac:dyDescent="0.2">
      <c r="A421" s="1">
        <v>244348</v>
      </c>
      <c r="B421" t="s">
        <v>371</v>
      </c>
      <c r="C421" t="s">
        <v>472</v>
      </c>
      <c r="D421" t="s">
        <v>398</v>
      </c>
      <c r="F421" s="2">
        <v>327.10000000000002</v>
      </c>
      <c r="G421" s="2">
        <v>-164607.54999999999</v>
      </c>
    </row>
    <row r="422" spans="1:7" x14ac:dyDescent="0.2">
      <c r="A422" s="1">
        <v>244348</v>
      </c>
      <c r="B422" t="s">
        <v>371</v>
      </c>
      <c r="C422" t="s">
        <v>472</v>
      </c>
      <c r="D422" t="s">
        <v>394</v>
      </c>
      <c r="F422" s="2">
        <v>2158.88</v>
      </c>
      <c r="G422" s="2">
        <v>-166766.43</v>
      </c>
    </row>
    <row r="423" spans="1:7" x14ac:dyDescent="0.2">
      <c r="A423" s="1">
        <v>244348</v>
      </c>
      <c r="B423" t="s">
        <v>371</v>
      </c>
      <c r="C423" t="s">
        <v>472</v>
      </c>
      <c r="D423" t="s">
        <v>424</v>
      </c>
      <c r="F423" s="2">
        <v>850.47</v>
      </c>
      <c r="G423" s="2">
        <v>-167616.9</v>
      </c>
    </row>
    <row r="424" spans="1:7" x14ac:dyDescent="0.2">
      <c r="A424" s="1">
        <v>244348</v>
      </c>
      <c r="B424" t="s">
        <v>371</v>
      </c>
      <c r="C424" t="s">
        <v>472</v>
      </c>
      <c r="D424" t="s">
        <v>409</v>
      </c>
      <c r="F424" s="2">
        <v>327.10000000000002</v>
      </c>
      <c r="G424" s="2">
        <v>-167944</v>
      </c>
    </row>
    <row r="425" spans="1:7" x14ac:dyDescent="0.2">
      <c r="A425" s="1">
        <v>244348</v>
      </c>
      <c r="B425" t="s">
        <v>371</v>
      </c>
      <c r="C425" t="s">
        <v>472</v>
      </c>
      <c r="D425" t="s">
        <v>419</v>
      </c>
      <c r="F425" s="2">
        <v>196.26</v>
      </c>
      <c r="G425" s="2">
        <v>-168140.26</v>
      </c>
    </row>
    <row r="426" spans="1:7" x14ac:dyDescent="0.2">
      <c r="A426" s="1">
        <v>244348</v>
      </c>
      <c r="B426" t="s">
        <v>371</v>
      </c>
      <c r="C426" t="s">
        <v>472</v>
      </c>
      <c r="D426" t="s">
        <v>420</v>
      </c>
      <c r="F426" s="2">
        <v>196.26</v>
      </c>
      <c r="G426" s="2">
        <v>-168336.52</v>
      </c>
    </row>
    <row r="427" spans="1:7" x14ac:dyDescent="0.2">
      <c r="A427" s="1">
        <v>244348</v>
      </c>
      <c r="B427" t="s">
        <v>371</v>
      </c>
      <c r="C427" t="s">
        <v>472</v>
      </c>
      <c r="D427" t="s">
        <v>438</v>
      </c>
      <c r="F427" s="2">
        <v>327.10000000000002</v>
      </c>
      <c r="G427" s="2">
        <v>-168663.62</v>
      </c>
    </row>
    <row r="428" spans="1:7" x14ac:dyDescent="0.2">
      <c r="A428" s="1">
        <v>244348</v>
      </c>
      <c r="B428" t="s">
        <v>371</v>
      </c>
      <c r="C428" t="s">
        <v>472</v>
      </c>
      <c r="D428" t="s">
        <v>434</v>
      </c>
      <c r="F428" s="2">
        <v>196.26</v>
      </c>
      <c r="G428" s="2">
        <v>-168859.88</v>
      </c>
    </row>
    <row r="429" spans="1:7" x14ac:dyDescent="0.2">
      <c r="A429" s="1">
        <v>244348</v>
      </c>
      <c r="B429" t="s">
        <v>371</v>
      </c>
      <c r="C429" t="s">
        <v>472</v>
      </c>
      <c r="D429" t="s">
        <v>382</v>
      </c>
      <c r="F429" s="2">
        <v>196.26</v>
      </c>
      <c r="G429" s="2">
        <v>-169056.14</v>
      </c>
    </row>
    <row r="430" spans="1:7" x14ac:dyDescent="0.2">
      <c r="A430" s="1">
        <v>244348</v>
      </c>
      <c r="B430" t="s">
        <v>371</v>
      </c>
      <c r="C430" t="s">
        <v>472</v>
      </c>
      <c r="D430" t="s">
        <v>417</v>
      </c>
      <c r="F430" s="2">
        <v>196.26</v>
      </c>
      <c r="G430" s="2">
        <v>-169252.4</v>
      </c>
    </row>
    <row r="431" spans="1:7" x14ac:dyDescent="0.2">
      <c r="A431" s="1">
        <v>244348</v>
      </c>
      <c r="B431" t="s">
        <v>371</v>
      </c>
      <c r="C431" t="s">
        <v>472</v>
      </c>
      <c r="D431" t="s">
        <v>468</v>
      </c>
      <c r="F431" s="2">
        <v>65.42</v>
      </c>
      <c r="G431" s="2">
        <v>-169317.82</v>
      </c>
    </row>
    <row r="432" spans="1:7" x14ac:dyDescent="0.2">
      <c r="A432" s="1">
        <v>244348</v>
      </c>
      <c r="B432" t="s">
        <v>371</v>
      </c>
      <c r="C432" t="s">
        <v>472</v>
      </c>
      <c r="D432" t="s">
        <v>441</v>
      </c>
      <c r="F432" s="2">
        <v>196.26</v>
      </c>
      <c r="G432" s="2">
        <v>-169514.08</v>
      </c>
    </row>
    <row r="433" spans="1:7" x14ac:dyDescent="0.2">
      <c r="A433" s="1">
        <v>244348</v>
      </c>
      <c r="B433" t="s">
        <v>371</v>
      </c>
      <c r="C433" t="s">
        <v>472</v>
      </c>
      <c r="D433" t="s">
        <v>379</v>
      </c>
      <c r="F433" s="2">
        <v>327.10000000000002</v>
      </c>
      <c r="G433" s="2">
        <v>-169841.18</v>
      </c>
    </row>
    <row r="434" spans="1:7" x14ac:dyDescent="0.2">
      <c r="A434" s="1">
        <v>244348</v>
      </c>
      <c r="B434" t="s">
        <v>371</v>
      </c>
      <c r="C434" t="s">
        <v>472</v>
      </c>
      <c r="D434" t="s">
        <v>469</v>
      </c>
      <c r="F434" s="2">
        <v>196.26</v>
      </c>
      <c r="G434" s="2">
        <v>-170037.44</v>
      </c>
    </row>
    <row r="435" spans="1:7" x14ac:dyDescent="0.2">
      <c r="A435" s="1">
        <v>244348</v>
      </c>
      <c r="B435" t="s">
        <v>371</v>
      </c>
      <c r="C435" t="s">
        <v>472</v>
      </c>
      <c r="D435" t="s">
        <v>452</v>
      </c>
      <c r="F435" s="2">
        <v>196.26</v>
      </c>
      <c r="G435" s="2">
        <v>-170233.7</v>
      </c>
    </row>
    <row r="436" spans="1:7" x14ac:dyDescent="0.2">
      <c r="A436" s="1">
        <v>244348</v>
      </c>
      <c r="B436" t="s">
        <v>371</v>
      </c>
      <c r="C436" t="s">
        <v>472</v>
      </c>
      <c r="D436" t="s">
        <v>461</v>
      </c>
      <c r="F436" s="2">
        <v>327.10000000000002</v>
      </c>
      <c r="G436" s="2">
        <v>-170560.8</v>
      </c>
    </row>
    <row r="437" spans="1:7" x14ac:dyDescent="0.2">
      <c r="A437" s="1">
        <v>244348</v>
      </c>
      <c r="B437" t="s">
        <v>371</v>
      </c>
      <c r="C437" t="s">
        <v>472</v>
      </c>
      <c r="D437" t="s">
        <v>380</v>
      </c>
      <c r="F437" s="2">
        <v>196.26</v>
      </c>
      <c r="G437" s="2">
        <v>-170757.06</v>
      </c>
    </row>
    <row r="438" spans="1:7" x14ac:dyDescent="0.2">
      <c r="A438" s="1">
        <v>244348</v>
      </c>
      <c r="B438" t="s">
        <v>371</v>
      </c>
      <c r="C438" t="s">
        <v>472</v>
      </c>
      <c r="D438" t="s">
        <v>389</v>
      </c>
      <c r="F438" s="2">
        <v>65.42</v>
      </c>
      <c r="G438" s="2">
        <v>-170822.48</v>
      </c>
    </row>
    <row r="439" spans="1:7" x14ac:dyDescent="0.2">
      <c r="A439" s="1">
        <v>244348</v>
      </c>
      <c r="B439" t="s">
        <v>371</v>
      </c>
      <c r="C439" t="s">
        <v>472</v>
      </c>
      <c r="D439" t="s">
        <v>439</v>
      </c>
      <c r="F439" s="2">
        <v>196.26</v>
      </c>
      <c r="G439" s="2">
        <v>-171018.74</v>
      </c>
    </row>
    <row r="440" spans="1:7" x14ac:dyDescent="0.2">
      <c r="A440" s="1">
        <v>244349</v>
      </c>
      <c r="B440" t="s">
        <v>18</v>
      </c>
      <c r="C440" t="s">
        <v>481</v>
      </c>
      <c r="D440" t="s">
        <v>482</v>
      </c>
      <c r="E440" s="2">
        <v>5000</v>
      </c>
      <c r="G440" s="2">
        <v>-166018.74</v>
      </c>
    </row>
    <row r="441" spans="1:7" x14ac:dyDescent="0.2">
      <c r="A441" s="1">
        <v>244349</v>
      </c>
      <c r="B441" t="s">
        <v>18</v>
      </c>
      <c r="C441" t="s">
        <v>483</v>
      </c>
      <c r="D441" t="s">
        <v>484</v>
      </c>
      <c r="E441" s="2">
        <v>3000</v>
      </c>
      <c r="G441" s="2">
        <v>-163018.74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2F45-160C-4934-B0C6-58F654B8EAE2}">
  <sheetPr>
    <tabColor rgb="FF00B050"/>
  </sheetPr>
  <dimension ref="A1:J439"/>
  <sheetViews>
    <sheetView workbookViewId="0">
      <pane ySplit="1" topLeftCell="A2" activePane="bottomLeft" state="frozen"/>
      <selection pane="bottomLeft" activeCell="F10" sqref="F10"/>
    </sheetView>
  </sheetViews>
  <sheetFormatPr defaultRowHeight="14.25" x14ac:dyDescent="0.2"/>
  <cols>
    <col min="1" max="1" width="8.875" customWidth="1"/>
    <col min="2" max="2" width="49.875" bestFit="1" customWidth="1"/>
    <col min="3" max="3" width="10.75" bestFit="1" customWidth="1"/>
    <col min="4" max="4" width="7.625" customWidth="1"/>
    <col min="5" max="5" width="15" customWidth="1"/>
    <col min="6" max="6" width="49.875" bestFit="1" customWidth="1"/>
    <col min="7" max="9" width="16.125" style="2" customWidth="1"/>
    <col min="10" max="10" width="21.75" customWidth="1"/>
  </cols>
  <sheetData>
    <row r="1" spans="1:10" s="3" customFormat="1" ht="20.100000000000001" customHeight="1" x14ac:dyDescent="0.2">
      <c r="A1" s="7" t="s">
        <v>491</v>
      </c>
      <c r="B1" s="7" t="s">
        <v>492</v>
      </c>
      <c r="C1" s="8" t="s">
        <v>9</v>
      </c>
      <c r="D1" s="7" t="s">
        <v>10</v>
      </c>
      <c r="E1" s="7" t="s">
        <v>11</v>
      </c>
      <c r="F1" s="7" t="s">
        <v>493</v>
      </c>
      <c r="G1" s="9" t="s">
        <v>494</v>
      </c>
      <c r="H1" s="9" t="s">
        <v>14</v>
      </c>
      <c r="I1" s="9" t="s">
        <v>495</v>
      </c>
      <c r="J1" s="9" t="s">
        <v>496</v>
      </c>
    </row>
    <row r="2" spans="1:10" x14ac:dyDescent="0.2">
      <c r="A2" s="3">
        <v>1</v>
      </c>
      <c r="B2" t="s">
        <v>20</v>
      </c>
      <c r="C2" s="1">
        <v>244253</v>
      </c>
      <c r="D2" t="s">
        <v>18</v>
      </c>
      <c r="E2" t="s">
        <v>19</v>
      </c>
      <c r="F2" t="s">
        <v>20</v>
      </c>
      <c r="H2" s="2">
        <v>4672.8999999999996</v>
      </c>
      <c r="I2" s="2">
        <v>-4672.8999999999996</v>
      </c>
      <c r="J2" s="2">
        <f>G2-H2</f>
        <v>-4672.8999999999996</v>
      </c>
    </row>
    <row r="3" spans="1:10" x14ac:dyDescent="0.2">
      <c r="A3" s="3">
        <v>2</v>
      </c>
      <c r="B3" t="s">
        <v>22</v>
      </c>
      <c r="C3" s="1">
        <v>244256</v>
      </c>
      <c r="D3" t="s">
        <v>18</v>
      </c>
      <c r="E3" t="s">
        <v>21</v>
      </c>
      <c r="F3" t="s">
        <v>22</v>
      </c>
      <c r="H3" s="2">
        <v>4672.8999999999996</v>
      </c>
      <c r="I3" s="2">
        <v>-9345.7999999999993</v>
      </c>
      <c r="J3" s="2">
        <f t="shared" ref="J3:J64" si="0">G3-H3</f>
        <v>-4672.8999999999996</v>
      </c>
    </row>
    <row r="4" spans="1:10" x14ac:dyDescent="0.2">
      <c r="A4" s="3">
        <v>3</v>
      </c>
      <c r="B4" t="s">
        <v>26</v>
      </c>
      <c r="C4" s="1">
        <v>244257</v>
      </c>
      <c r="D4" t="s">
        <v>18</v>
      </c>
      <c r="E4" t="s">
        <v>25</v>
      </c>
      <c r="F4" t="s">
        <v>26</v>
      </c>
      <c r="H4" s="2">
        <v>4672.8999999999996</v>
      </c>
      <c r="I4" s="2">
        <v>-9345.7999999999993</v>
      </c>
      <c r="J4" s="2">
        <f t="shared" si="0"/>
        <v>-4672.8999999999996</v>
      </c>
    </row>
    <row r="5" spans="1:10" x14ac:dyDescent="0.2">
      <c r="A5" s="3">
        <v>4</v>
      </c>
      <c r="B5" t="s">
        <v>28</v>
      </c>
      <c r="C5" s="1">
        <v>244259</v>
      </c>
      <c r="D5" t="s">
        <v>18</v>
      </c>
      <c r="E5" t="s">
        <v>27</v>
      </c>
      <c r="F5" t="s">
        <v>28</v>
      </c>
      <c r="H5" s="2">
        <v>9345.7900000000009</v>
      </c>
      <c r="I5" s="2">
        <v>-18691.59</v>
      </c>
      <c r="J5" s="2">
        <f t="shared" si="0"/>
        <v>-9345.7900000000009</v>
      </c>
    </row>
    <row r="6" spans="1:10" x14ac:dyDescent="0.2">
      <c r="A6" s="3">
        <v>5</v>
      </c>
      <c r="B6" t="s">
        <v>30</v>
      </c>
      <c r="C6" s="1">
        <v>244264</v>
      </c>
      <c r="D6" t="s">
        <v>18</v>
      </c>
      <c r="E6" t="s">
        <v>29</v>
      </c>
      <c r="F6" t="s">
        <v>30</v>
      </c>
      <c r="H6" s="2">
        <v>2803.74</v>
      </c>
      <c r="I6" s="2">
        <v>-21495.33</v>
      </c>
      <c r="J6" s="2">
        <f t="shared" si="0"/>
        <v>-2803.74</v>
      </c>
    </row>
    <row r="7" spans="1:10" x14ac:dyDescent="0.2">
      <c r="A7" s="3">
        <v>6</v>
      </c>
      <c r="B7" t="s">
        <v>31</v>
      </c>
      <c r="C7" s="1">
        <v>244264</v>
      </c>
      <c r="D7" t="s">
        <v>18</v>
      </c>
      <c r="E7" t="s">
        <v>29</v>
      </c>
      <c r="F7" t="s">
        <v>31</v>
      </c>
      <c r="H7" s="2">
        <v>4672.8999999999996</v>
      </c>
      <c r="I7" s="2">
        <v>-26168.23</v>
      </c>
      <c r="J7" s="2">
        <f t="shared" si="0"/>
        <v>-4672.8999999999996</v>
      </c>
    </row>
    <row r="8" spans="1:10" x14ac:dyDescent="0.2">
      <c r="A8" s="3">
        <v>7</v>
      </c>
      <c r="B8" s="16" t="s">
        <v>32</v>
      </c>
      <c r="C8" s="1">
        <v>244264</v>
      </c>
      <c r="D8" t="s">
        <v>18</v>
      </c>
      <c r="E8" t="s">
        <v>29</v>
      </c>
      <c r="F8" t="s">
        <v>32</v>
      </c>
      <c r="H8" s="2">
        <v>1869.16</v>
      </c>
      <c r="I8" s="2">
        <v>-28037.39</v>
      </c>
      <c r="J8" s="2">
        <f t="shared" si="0"/>
        <v>-1869.16</v>
      </c>
    </row>
    <row r="9" spans="1:10" x14ac:dyDescent="0.2">
      <c r="A9" s="3">
        <v>8</v>
      </c>
      <c r="B9" t="s">
        <v>33</v>
      </c>
      <c r="C9" s="1">
        <v>244264</v>
      </c>
      <c r="D9" t="s">
        <v>18</v>
      </c>
      <c r="E9" t="s">
        <v>29</v>
      </c>
      <c r="F9" t="s">
        <v>33</v>
      </c>
      <c r="H9" s="2">
        <v>2803.74</v>
      </c>
      <c r="I9" s="2">
        <v>-30841.13</v>
      </c>
      <c r="J9" s="2">
        <f t="shared" si="0"/>
        <v>-2803.74</v>
      </c>
    </row>
    <row r="10" spans="1:10" x14ac:dyDescent="0.2">
      <c r="A10" s="3">
        <v>9</v>
      </c>
      <c r="B10" t="s">
        <v>28</v>
      </c>
      <c r="C10" s="1">
        <v>244265</v>
      </c>
      <c r="D10" t="s">
        <v>18</v>
      </c>
      <c r="E10" t="s">
        <v>36</v>
      </c>
      <c r="F10" t="s">
        <v>28</v>
      </c>
      <c r="G10" s="2">
        <v>9345.7900000000009</v>
      </c>
      <c r="I10" s="2">
        <v>-16822.439999999999</v>
      </c>
      <c r="J10" s="2">
        <f t="shared" si="0"/>
        <v>9345.7900000000009</v>
      </c>
    </row>
    <row r="11" spans="1:10" x14ac:dyDescent="0.2">
      <c r="A11" s="3">
        <v>10</v>
      </c>
      <c r="B11" t="s">
        <v>37</v>
      </c>
      <c r="C11" s="1">
        <v>244265</v>
      </c>
      <c r="D11" t="s">
        <v>18</v>
      </c>
      <c r="E11" t="s">
        <v>36</v>
      </c>
      <c r="F11" t="s">
        <v>37</v>
      </c>
      <c r="H11" s="2">
        <v>2803.74</v>
      </c>
      <c r="I11" s="2">
        <v>-19626.18</v>
      </c>
      <c r="J11" s="2">
        <f t="shared" si="0"/>
        <v>-2803.74</v>
      </c>
    </row>
    <row r="12" spans="1:10" x14ac:dyDescent="0.2">
      <c r="A12" s="3">
        <v>11</v>
      </c>
      <c r="B12" t="s">
        <v>39</v>
      </c>
      <c r="C12" s="1">
        <v>244266</v>
      </c>
      <c r="D12" t="s">
        <v>18</v>
      </c>
      <c r="E12" t="s">
        <v>38</v>
      </c>
      <c r="F12" t="s">
        <v>39</v>
      </c>
      <c r="H12" s="2">
        <v>4672.8999999999996</v>
      </c>
      <c r="I12" s="2">
        <v>-24299.08</v>
      </c>
      <c r="J12" s="2">
        <f t="shared" si="0"/>
        <v>-4672.8999999999996</v>
      </c>
    </row>
    <row r="13" spans="1:10" x14ac:dyDescent="0.2">
      <c r="A13" s="3">
        <v>12</v>
      </c>
      <c r="B13" t="s">
        <v>40</v>
      </c>
      <c r="C13" s="1">
        <v>244266</v>
      </c>
      <c r="D13" t="s">
        <v>18</v>
      </c>
      <c r="E13" t="s">
        <v>38</v>
      </c>
      <c r="F13" t="s">
        <v>40</v>
      </c>
      <c r="H13" s="2">
        <v>934.58</v>
      </c>
      <c r="I13" s="2">
        <v>-25233.66</v>
      </c>
      <c r="J13" s="2">
        <f t="shared" si="0"/>
        <v>-934.58</v>
      </c>
    </row>
    <row r="14" spans="1:10" x14ac:dyDescent="0.2">
      <c r="A14" s="3">
        <v>13</v>
      </c>
      <c r="B14" t="s">
        <v>26</v>
      </c>
      <c r="C14" s="1">
        <v>244267</v>
      </c>
      <c r="D14" t="s">
        <v>18</v>
      </c>
      <c r="E14" t="s">
        <v>41</v>
      </c>
      <c r="F14" t="s">
        <v>26</v>
      </c>
      <c r="G14" s="2">
        <v>4672.8999999999996</v>
      </c>
      <c r="I14" s="2">
        <v>-20560.759999999998</v>
      </c>
      <c r="J14" s="2">
        <f t="shared" si="0"/>
        <v>4672.8999999999996</v>
      </c>
    </row>
    <row r="15" spans="1:10" x14ac:dyDescent="0.2">
      <c r="A15" s="3">
        <v>14</v>
      </c>
      <c r="B15" t="s">
        <v>22</v>
      </c>
      <c r="C15" s="1">
        <v>244272</v>
      </c>
      <c r="D15" t="s">
        <v>18</v>
      </c>
      <c r="E15" t="s">
        <v>44</v>
      </c>
      <c r="F15" t="s">
        <v>22</v>
      </c>
      <c r="G15" s="2">
        <v>4672.8999999999996</v>
      </c>
      <c r="I15" s="2">
        <v>-11214.96</v>
      </c>
      <c r="J15" s="2">
        <f t="shared" si="0"/>
        <v>4672.8999999999996</v>
      </c>
    </row>
    <row r="16" spans="1:10" x14ac:dyDescent="0.2">
      <c r="A16" s="3">
        <v>15</v>
      </c>
      <c r="B16" t="s">
        <v>46</v>
      </c>
      <c r="C16" s="1">
        <v>244272</v>
      </c>
      <c r="D16" t="s">
        <v>18</v>
      </c>
      <c r="E16" t="s">
        <v>45</v>
      </c>
      <c r="F16" t="s">
        <v>46</v>
      </c>
      <c r="H16" s="2">
        <v>9345.7900000000009</v>
      </c>
      <c r="I16" s="2">
        <v>-20560.75</v>
      </c>
      <c r="J16" s="2">
        <f t="shared" si="0"/>
        <v>-9345.7900000000009</v>
      </c>
    </row>
    <row r="17" spans="1:10" x14ac:dyDescent="0.2">
      <c r="A17" s="3">
        <v>16</v>
      </c>
      <c r="B17" t="s">
        <v>47</v>
      </c>
      <c r="C17" s="1">
        <v>244272</v>
      </c>
      <c r="D17" t="s">
        <v>18</v>
      </c>
      <c r="E17" t="s">
        <v>45</v>
      </c>
      <c r="F17" t="s">
        <v>47</v>
      </c>
      <c r="H17" s="2">
        <v>4672.8999999999996</v>
      </c>
      <c r="I17" s="2">
        <v>-25233.65</v>
      </c>
      <c r="J17" s="2">
        <f t="shared" si="0"/>
        <v>-4672.8999999999996</v>
      </c>
    </row>
    <row r="18" spans="1:10" x14ac:dyDescent="0.2">
      <c r="A18" s="3">
        <v>17</v>
      </c>
      <c r="B18" s="16" t="s">
        <v>48</v>
      </c>
      <c r="C18" s="1">
        <v>244272</v>
      </c>
      <c r="D18" t="s">
        <v>18</v>
      </c>
      <c r="E18" t="s">
        <v>45</v>
      </c>
      <c r="F18" t="s">
        <v>48</v>
      </c>
      <c r="H18" s="2">
        <v>2803.74</v>
      </c>
      <c r="I18" s="2">
        <v>-28037.39</v>
      </c>
      <c r="J18" s="2">
        <f t="shared" si="0"/>
        <v>-2803.74</v>
      </c>
    </row>
    <row r="19" spans="1:10" x14ac:dyDescent="0.2">
      <c r="A19" s="3">
        <v>18</v>
      </c>
      <c r="B19" t="s">
        <v>50</v>
      </c>
      <c r="C19" s="1">
        <v>244274</v>
      </c>
      <c r="D19" t="s">
        <v>18</v>
      </c>
      <c r="E19" t="s">
        <v>49</v>
      </c>
      <c r="F19" t="s">
        <v>50</v>
      </c>
      <c r="H19" s="2">
        <v>2803.74</v>
      </c>
      <c r="I19" s="2">
        <v>-30841.13</v>
      </c>
      <c r="J19" s="2">
        <f t="shared" si="0"/>
        <v>-2803.74</v>
      </c>
    </row>
    <row r="20" spans="1:10" x14ac:dyDescent="0.2">
      <c r="A20" s="3">
        <v>19</v>
      </c>
      <c r="B20" t="s">
        <v>33</v>
      </c>
      <c r="C20" s="1">
        <v>244278</v>
      </c>
      <c r="D20" t="s">
        <v>18</v>
      </c>
      <c r="E20" t="s">
        <v>51</v>
      </c>
      <c r="F20" t="s">
        <v>33</v>
      </c>
      <c r="G20" s="2">
        <v>2803.74</v>
      </c>
      <c r="I20" s="2">
        <v>-28037.39</v>
      </c>
      <c r="J20" s="2">
        <f t="shared" si="0"/>
        <v>2803.74</v>
      </c>
    </row>
    <row r="21" spans="1:10" x14ac:dyDescent="0.2">
      <c r="A21" s="3">
        <v>20</v>
      </c>
      <c r="B21" t="s">
        <v>53</v>
      </c>
      <c r="C21" s="1">
        <v>244278</v>
      </c>
      <c r="D21" t="s">
        <v>18</v>
      </c>
      <c r="E21" t="s">
        <v>52</v>
      </c>
      <c r="F21" t="s">
        <v>53</v>
      </c>
      <c r="H21" s="2">
        <v>2803.74</v>
      </c>
      <c r="I21" s="2">
        <v>-30841.13</v>
      </c>
      <c r="J21" s="2">
        <f t="shared" si="0"/>
        <v>-2803.74</v>
      </c>
    </row>
    <row r="22" spans="1:10" x14ac:dyDescent="0.2">
      <c r="A22" s="3">
        <v>21</v>
      </c>
      <c r="B22" t="s">
        <v>54</v>
      </c>
      <c r="C22" s="1">
        <v>244278</v>
      </c>
      <c r="D22" t="s">
        <v>18</v>
      </c>
      <c r="E22" t="s">
        <v>52</v>
      </c>
      <c r="F22" t="s">
        <v>54</v>
      </c>
      <c r="H22" s="2">
        <v>32710.28</v>
      </c>
      <c r="I22" s="2">
        <v>-63551.41</v>
      </c>
      <c r="J22" s="2">
        <f t="shared" si="0"/>
        <v>-32710.28</v>
      </c>
    </row>
    <row r="23" spans="1:10" x14ac:dyDescent="0.2">
      <c r="A23" s="3">
        <v>22</v>
      </c>
      <c r="B23" t="s">
        <v>31</v>
      </c>
      <c r="C23" s="1">
        <v>244279</v>
      </c>
      <c r="D23" t="s">
        <v>18</v>
      </c>
      <c r="E23" t="s">
        <v>55</v>
      </c>
      <c r="F23" t="s">
        <v>31</v>
      </c>
      <c r="G23" s="2">
        <v>4672.8999999999996</v>
      </c>
      <c r="I23" s="2">
        <v>-58878.51</v>
      </c>
      <c r="J23" s="2">
        <f t="shared" si="0"/>
        <v>4672.8999999999996</v>
      </c>
    </row>
    <row r="24" spans="1:10" x14ac:dyDescent="0.2">
      <c r="A24" s="3">
        <v>23</v>
      </c>
      <c r="B24" t="s">
        <v>46</v>
      </c>
      <c r="C24" s="1">
        <v>244281</v>
      </c>
      <c r="D24" t="s">
        <v>18</v>
      </c>
      <c r="E24" t="s">
        <v>56</v>
      </c>
      <c r="F24" t="s">
        <v>57</v>
      </c>
      <c r="G24" s="2">
        <v>9345.7900000000009</v>
      </c>
      <c r="I24" s="2">
        <v>-49532.72</v>
      </c>
      <c r="J24" s="2">
        <f t="shared" si="0"/>
        <v>9345.7900000000009</v>
      </c>
    </row>
    <row r="25" spans="1:10" x14ac:dyDescent="0.2">
      <c r="A25" s="3">
        <v>24</v>
      </c>
      <c r="B25" t="s">
        <v>59</v>
      </c>
      <c r="C25" s="1">
        <v>244282</v>
      </c>
      <c r="D25" t="s">
        <v>18</v>
      </c>
      <c r="E25" t="s">
        <v>58</v>
      </c>
      <c r="F25" t="s">
        <v>59</v>
      </c>
      <c r="H25" s="2">
        <v>4672.8999999999996</v>
      </c>
      <c r="I25" s="2">
        <v>-54205.62</v>
      </c>
      <c r="J25" s="2">
        <f t="shared" si="0"/>
        <v>-4672.8999999999996</v>
      </c>
    </row>
    <row r="26" spans="1:10" x14ac:dyDescent="0.2">
      <c r="A26" s="3">
        <v>25</v>
      </c>
      <c r="B26" t="s">
        <v>39</v>
      </c>
      <c r="C26" s="1">
        <v>244284</v>
      </c>
      <c r="D26" t="s">
        <v>60</v>
      </c>
      <c r="E26" t="s">
        <v>61</v>
      </c>
      <c r="F26" t="s">
        <v>62</v>
      </c>
      <c r="G26" s="2">
        <v>4672.8999999999996</v>
      </c>
      <c r="I26" s="2">
        <v>-49532.72</v>
      </c>
      <c r="J26" s="2">
        <f t="shared" si="0"/>
        <v>4672.8999999999996</v>
      </c>
    </row>
    <row r="27" spans="1:10" x14ac:dyDescent="0.2">
      <c r="A27" s="3">
        <v>26</v>
      </c>
      <c r="B27" t="s">
        <v>20</v>
      </c>
      <c r="C27" s="1">
        <v>244284</v>
      </c>
      <c r="D27" t="s">
        <v>60</v>
      </c>
      <c r="E27" t="s">
        <v>61</v>
      </c>
      <c r="F27" t="s">
        <v>63</v>
      </c>
      <c r="G27" s="2">
        <v>4672.8999999999996</v>
      </c>
      <c r="I27" s="2">
        <v>-44859.82</v>
      </c>
      <c r="J27" s="2">
        <f t="shared" si="0"/>
        <v>4672.8999999999996</v>
      </c>
    </row>
    <row r="28" spans="1:10" x14ac:dyDescent="0.2">
      <c r="A28" s="3">
        <v>27</v>
      </c>
      <c r="B28" t="s">
        <v>30</v>
      </c>
      <c r="C28" s="1">
        <v>244284</v>
      </c>
      <c r="D28" t="s">
        <v>60</v>
      </c>
      <c r="E28" t="s">
        <v>61</v>
      </c>
      <c r="F28" t="s">
        <v>64</v>
      </c>
      <c r="G28" s="2">
        <v>2803.74</v>
      </c>
      <c r="I28" s="2">
        <v>-42056.08</v>
      </c>
      <c r="J28" s="2">
        <f t="shared" si="0"/>
        <v>2803.74</v>
      </c>
    </row>
    <row r="29" spans="1:10" x14ac:dyDescent="0.2">
      <c r="A29" s="3">
        <v>28</v>
      </c>
      <c r="B29" t="s">
        <v>47</v>
      </c>
      <c r="C29" s="1">
        <v>244285</v>
      </c>
      <c r="D29" t="s">
        <v>18</v>
      </c>
      <c r="E29" t="s">
        <v>65</v>
      </c>
      <c r="F29" t="s">
        <v>47</v>
      </c>
      <c r="G29" s="2">
        <v>4672.8999999999996</v>
      </c>
      <c r="I29" s="2">
        <v>-37383.18</v>
      </c>
      <c r="J29" s="2">
        <f t="shared" si="0"/>
        <v>4672.8999999999996</v>
      </c>
    </row>
    <row r="30" spans="1:10" x14ac:dyDescent="0.2">
      <c r="A30" s="3">
        <v>29</v>
      </c>
      <c r="B30" t="s">
        <v>67</v>
      </c>
      <c r="C30" s="1">
        <v>244285</v>
      </c>
      <c r="D30" t="s">
        <v>18</v>
      </c>
      <c r="E30" t="s">
        <v>66</v>
      </c>
      <c r="F30" t="s">
        <v>67</v>
      </c>
      <c r="H30" s="2">
        <v>56074.77</v>
      </c>
      <c r="I30" s="2">
        <v>-93457.95</v>
      </c>
      <c r="J30" s="2">
        <f t="shared" si="0"/>
        <v>-56074.77</v>
      </c>
    </row>
    <row r="31" spans="1:10" x14ac:dyDescent="0.2">
      <c r="A31" s="3">
        <v>30</v>
      </c>
      <c r="B31" t="s">
        <v>69</v>
      </c>
      <c r="C31" s="1">
        <v>244286</v>
      </c>
      <c r="D31" t="s">
        <v>18</v>
      </c>
      <c r="E31" t="s">
        <v>68</v>
      </c>
      <c r="F31" t="s">
        <v>69</v>
      </c>
      <c r="H31" s="2">
        <v>4672.8999999999996</v>
      </c>
      <c r="I31" s="2">
        <v>-98130.85</v>
      </c>
      <c r="J31" s="2">
        <f t="shared" si="0"/>
        <v>-4672.8999999999996</v>
      </c>
    </row>
    <row r="32" spans="1:10" x14ac:dyDescent="0.2">
      <c r="A32" s="3">
        <v>31</v>
      </c>
      <c r="B32" t="s">
        <v>70</v>
      </c>
      <c r="C32" s="1">
        <v>244286</v>
      </c>
      <c r="D32" t="s">
        <v>18</v>
      </c>
      <c r="E32" t="s">
        <v>68</v>
      </c>
      <c r="F32" t="s">
        <v>70</v>
      </c>
      <c r="H32" s="2">
        <v>2803.74</v>
      </c>
      <c r="I32" s="2">
        <v>-100934.59</v>
      </c>
      <c r="J32" s="2">
        <f t="shared" si="0"/>
        <v>-2803.74</v>
      </c>
    </row>
    <row r="33" spans="1:10" x14ac:dyDescent="0.2">
      <c r="A33" s="3">
        <v>32</v>
      </c>
      <c r="B33" t="s">
        <v>71</v>
      </c>
      <c r="C33" s="1">
        <v>244286</v>
      </c>
      <c r="D33" t="s">
        <v>18</v>
      </c>
      <c r="E33" t="s">
        <v>68</v>
      </c>
      <c r="F33" t="s">
        <v>71</v>
      </c>
      <c r="H33" s="2">
        <v>2803.74</v>
      </c>
      <c r="I33" s="2">
        <v>-103738.33</v>
      </c>
      <c r="J33" s="2">
        <f t="shared" si="0"/>
        <v>-2803.74</v>
      </c>
    </row>
    <row r="34" spans="1:10" x14ac:dyDescent="0.2">
      <c r="A34" s="3">
        <v>33</v>
      </c>
      <c r="B34" t="s">
        <v>72</v>
      </c>
      <c r="C34" s="1">
        <v>244286</v>
      </c>
      <c r="D34" t="s">
        <v>18</v>
      </c>
      <c r="E34" t="s">
        <v>68</v>
      </c>
      <c r="F34" t="s">
        <v>72</v>
      </c>
      <c r="H34" s="2">
        <v>4672.8999999999996</v>
      </c>
      <c r="I34" s="2">
        <v>-108411.23</v>
      </c>
      <c r="J34" s="2">
        <f t="shared" si="0"/>
        <v>-4672.8999999999996</v>
      </c>
    </row>
    <row r="35" spans="1:10" x14ac:dyDescent="0.2">
      <c r="A35" s="3">
        <v>34</v>
      </c>
      <c r="B35" t="s">
        <v>74</v>
      </c>
      <c r="C35" s="1">
        <v>244287</v>
      </c>
      <c r="D35" t="s">
        <v>18</v>
      </c>
      <c r="E35" t="s">
        <v>73</v>
      </c>
      <c r="F35" t="s">
        <v>74</v>
      </c>
      <c r="H35" s="2">
        <v>28037.38</v>
      </c>
      <c r="I35" s="2">
        <v>-136448.60999999999</v>
      </c>
      <c r="J35" s="2">
        <f t="shared" si="0"/>
        <v>-28037.38</v>
      </c>
    </row>
    <row r="36" spans="1:10" x14ac:dyDescent="0.2">
      <c r="A36" s="3">
        <v>35</v>
      </c>
      <c r="B36" t="s">
        <v>40</v>
      </c>
      <c r="C36" s="1">
        <v>244288</v>
      </c>
      <c r="D36" t="s">
        <v>18</v>
      </c>
      <c r="E36" t="s">
        <v>75</v>
      </c>
      <c r="F36" t="s">
        <v>76</v>
      </c>
      <c r="G36" s="2">
        <v>934.58</v>
      </c>
      <c r="I36" s="2">
        <v>-135514.03</v>
      </c>
      <c r="J36" s="2">
        <f t="shared" si="0"/>
        <v>934.58</v>
      </c>
    </row>
    <row r="37" spans="1:10" x14ac:dyDescent="0.2">
      <c r="A37" s="3">
        <v>36</v>
      </c>
      <c r="B37" t="s">
        <v>53</v>
      </c>
      <c r="C37" s="1">
        <v>244288</v>
      </c>
      <c r="D37" t="s">
        <v>18</v>
      </c>
      <c r="E37" t="s">
        <v>77</v>
      </c>
      <c r="F37" t="s">
        <v>53</v>
      </c>
      <c r="G37" s="2">
        <v>2803.74</v>
      </c>
      <c r="I37" s="2">
        <v>-132710.29</v>
      </c>
      <c r="J37" s="2">
        <f t="shared" si="0"/>
        <v>2803.74</v>
      </c>
    </row>
    <row r="38" spans="1:10" x14ac:dyDescent="0.2">
      <c r="A38" s="3">
        <v>37</v>
      </c>
      <c r="B38" t="s">
        <v>78</v>
      </c>
      <c r="C38" s="1">
        <v>244288</v>
      </c>
      <c r="D38" t="s">
        <v>18</v>
      </c>
      <c r="E38" t="s">
        <v>77</v>
      </c>
      <c r="F38" t="s">
        <v>78</v>
      </c>
      <c r="H38" s="2">
        <v>1869.16</v>
      </c>
      <c r="I38" s="2">
        <v>-134579.45000000001</v>
      </c>
      <c r="J38" s="2">
        <f t="shared" si="0"/>
        <v>-1869.16</v>
      </c>
    </row>
    <row r="39" spans="1:10" x14ac:dyDescent="0.2">
      <c r="A39" s="3">
        <v>38</v>
      </c>
      <c r="B39" t="s">
        <v>69</v>
      </c>
      <c r="C39" s="1">
        <v>244288</v>
      </c>
      <c r="D39" t="s">
        <v>18</v>
      </c>
      <c r="E39" t="s">
        <v>77</v>
      </c>
      <c r="F39" t="s">
        <v>69</v>
      </c>
      <c r="G39" s="2">
        <v>4672.8999999999996</v>
      </c>
      <c r="I39" s="2">
        <v>-129906.55</v>
      </c>
      <c r="J39" s="2">
        <f t="shared" si="0"/>
        <v>4672.8999999999996</v>
      </c>
    </row>
    <row r="40" spans="1:10" x14ac:dyDescent="0.2">
      <c r="A40" s="3">
        <v>39</v>
      </c>
      <c r="B40" t="s">
        <v>67</v>
      </c>
      <c r="C40" s="1">
        <v>244288</v>
      </c>
      <c r="D40" t="s">
        <v>18</v>
      </c>
      <c r="E40" t="s">
        <v>77</v>
      </c>
      <c r="F40" t="s">
        <v>67</v>
      </c>
      <c r="G40" s="2">
        <v>56074.77</v>
      </c>
      <c r="I40" s="2">
        <v>-73831.78</v>
      </c>
      <c r="J40" s="2">
        <f t="shared" si="0"/>
        <v>56074.77</v>
      </c>
    </row>
    <row r="41" spans="1:10" x14ac:dyDescent="0.2">
      <c r="A41" s="3">
        <v>40</v>
      </c>
      <c r="B41" t="s">
        <v>80</v>
      </c>
      <c r="C41" s="1">
        <v>244291</v>
      </c>
      <c r="D41" t="s">
        <v>18</v>
      </c>
      <c r="E41" t="s">
        <v>79</v>
      </c>
      <c r="F41" t="s">
        <v>80</v>
      </c>
      <c r="H41" s="2">
        <v>4672.8999999999996</v>
      </c>
      <c r="I41" s="2">
        <v>-78504.679999999993</v>
      </c>
      <c r="J41" s="2">
        <f t="shared" si="0"/>
        <v>-4672.8999999999996</v>
      </c>
    </row>
    <row r="42" spans="1:10" x14ac:dyDescent="0.2">
      <c r="A42" s="3">
        <v>41</v>
      </c>
      <c r="B42" t="s">
        <v>81</v>
      </c>
      <c r="C42" s="1">
        <v>244291</v>
      </c>
      <c r="D42" t="s">
        <v>18</v>
      </c>
      <c r="E42" t="s">
        <v>79</v>
      </c>
      <c r="F42" t="s">
        <v>81</v>
      </c>
      <c r="H42" s="2">
        <v>4672.8999999999996</v>
      </c>
      <c r="I42" s="2">
        <v>-83177.58</v>
      </c>
      <c r="J42" s="2">
        <f t="shared" si="0"/>
        <v>-4672.8999999999996</v>
      </c>
    </row>
    <row r="43" spans="1:10" x14ac:dyDescent="0.2">
      <c r="A43" s="3">
        <v>42</v>
      </c>
      <c r="B43" t="s">
        <v>82</v>
      </c>
      <c r="C43" s="1">
        <v>244291</v>
      </c>
      <c r="D43" t="s">
        <v>18</v>
      </c>
      <c r="E43" t="s">
        <v>79</v>
      </c>
      <c r="F43" t="s">
        <v>82</v>
      </c>
      <c r="H43" s="2">
        <v>28037.38</v>
      </c>
      <c r="I43" s="2">
        <v>-111214.96</v>
      </c>
      <c r="J43" s="2">
        <f t="shared" si="0"/>
        <v>-28037.38</v>
      </c>
    </row>
    <row r="44" spans="1:10" x14ac:dyDescent="0.2">
      <c r="A44" s="3">
        <v>43</v>
      </c>
      <c r="B44" t="s">
        <v>83</v>
      </c>
      <c r="C44" s="1">
        <v>244291</v>
      </c>
      <c r="D44" t="s">
        <v>18</v>
      </c>
      <c r="E44" t="s">
        <v>79</v>
      </c>
      <c r="F44" t="s">
        <v>83</v>
      </c>
      <c r="H44" s="2">
        <v>4672.8999999999996</v>
      </c>
      <c r="I44" s="2">
        <v>-115887.86</v>
      </c>
      <c r="J44" s="2">
        <f t="shared" si="0"/>
        <v>-4672.8999999999996</v>
      </c>
    </row>
    <row r="45" spans="1:10" x14ac:dyDescent="0.2">
      <c r="A45" s="3">
        <v>44</v>
      </c>
      <c r="B45" t="s">
        <v>84</v>
      </c>
      <c r="C45" s="1">
        <v>244291</v>
      </c>
      <c r="D45" t="s">
        <v>18</v>
      </c>
      <c r="E45" t="s">
        <v>79</v>
      </c>
      <c r="F45" t="s">
        <v>84</v>
      </c>
      <c r="H45" s="2">
        <v>4672.8999999999996</v>
      </c>
      <c r="I45" s="2">
        <v>-120560.76</v>
      </c>
      <c r="J45" s="2">
        <f t="shared" si="0"/>
        <v>-4672.8999999999996</v>
      </c>
    </row>
    <row r="46" spans="1:10" x14ac:dyDescent="0.2">
      <c r="A46" s="3">
        <v>45</v>
      </c>
      <c r="B46" t="s">
        <v>86</v>
      </c>
      <c r="C46" s="1">
        <v>244292</v>
      </c>
      <c r="D46" t="s">
        <v>18</v>
      </c>
      <c r="E46" t="s">
        <v>85</v>
      </c>
      <c r="F46" t="s">
        <v>86</v>
      </c>
      <c r="H46" s="2">
        <v>4672.8999999999996</v>
      </c>
      <c r="I46" s="2">
        <v>-125233.66</v>
      </c>
      <c r="J46" s="2">
        <f t="shared" si="0"/>
        <v>-4672.8999999999996</v>
      </c>
    </row>
    <row r="47" spans="1:10" x14ac:dyDescent="0.2">
      <c r="A47" s="3">
        <v>46</v>
      </c>
      <c r="B47" t="s">
        <v>87</v>
      </c>
      <c r="C47" s="1">
        <v>244292</v>
      </c>
      <c r="D47" t="s">
        <v>18</v>
      </c>
      <c r="E47" t="s">
        <v>85</v>
      </c>
      <c r="F47" t="s">
        <v>87</v>
      </c>
      <c r="H47" s="2">
        <v>2803.74</v>
      </c>
      <c r="I47" s="2">
        <v>-128037.4</v>
      </c>
      <c r="J47" s="2">
        <f t="shared" si="0"/>
        <v>-2803.74</v>
      </c>
    </row>
    <row r="48" spans="1:10" x14ac:dyDescent="0.2">
      <c r="A48" s="3">
        <v>47</v>
      </c>
      <c r="B48" t="s">
        <v>88</v>
      </c>
      <c r="C48" s="1">
        <v>244292</v>
      </c>
      <c r="D48" t="s">
        <v>18</v>
      </c>
      <c r="E48" t="s">
        <v>85</v>
      </c>
      <c r="F48" t="s">
        <v>88</v>
      </c>
      <c r="H48" s="2">
        <v>4672.8999999999996</v>
      </c>
      <c r="I48" s="2">
        <v>-132710.29999999999</v>
      </c>
      <c r="J48" s="2">
        <f t="shared" si="0"/>
        <v>-4672.8999999999996</v>
      </c>
    </row>
    <row r="49" spans="1:10" x14ac:dyDescent="0.2">
      <c r="A49" s="3">
        <v>48</v>
      </c>
      <c r="B49" t="s">
        <v>297</v>
      </c>
      <c r="C49" s="1">
        <v>244292</v>
      </c>
      <c r="D49" t="s">
        <v>18</v>
      </c>
      <c r="E49" t="s">
        <v>85</v>
      </c>
      <c r="F49" t="s">
        <v>89</v>
      </c>
      <c r="H49" s="2">
        <v>4672.8999999999996</v>
      </c>
      <c r="I49" s="2">
        <v>-137383.20000000001</v>
      </c>
      <c r="J49" s="2">
        <f t="shared" si="0"/>
        <v>-4672.8999999999996</v>
      </c>
    </row>
    <row r="50" spans="1:10" x14ac:dyDescent="0.2">
      <c r="A50" s="3">
        <v>49</v>
      </c>
      <c r="B50" t="s">
        <v>90</v>
      </c>
      <c r="C50" s="1">
        <v>244292</v>
      </c>
      <c r="D50" t="s">
        <v>18</v>
      </c>
      <c r="E50" t="s">
        <v>85</v>
      </c>
      <c r="F50" t="s">
        <v>90</v>
      </c>
      <c r="H50" s="2">
        <v>4672.8999999999996</v>
      </c>
      <c r="I50" s="2">
        <v>-142056.1</v>
      </c>
      <c r="J50" s="2">
        <f t="shared" si="0"/>
        <v>-4672.8999999999996</v>
      </c>
    </row>
    <row r="51" spans="1:10" x14ac:dyDescent="0.2">
      <c r="A51" s="3">
        <v>50</v>
      </c>
      <c r="B51" t="s">
        <v>92</v>
      </c>
      <c r="C51" s="1">
        <v>244293</v>
      </c>
      <c r="D51" t="s">
        <v>18</v>
      </c>
      <c r="E51" t="s">
        <v>91</v>
      </c>
      <c r="F51" t="s">
        <v>92</v>
      </c>
      <c r="H51" s="2">
        <v>934.58</v>
      </c>
      <c r="I51" s="2">
        <v>-142990.68</v>
      </c>
      <c r="J51" s="2">
        <f t="shared" si="0"/>
        <v>-934.58</v>
      </c>
    </row>
    <row r="52" spans="1:10" x14ac:dyDescent="0.2">
      <c r="A52" s="3">
        <v>51</v>
      </c>
      <c r="B52" t="s">
        <v>92</v>
      </c>
      <c r="C52" s="1">
        <v>244348</v>
      </c>
      <c r="D52" t="s">
        <v>18</v>
      </c>
      <c r="E52" t="s">
        <v>372</v>
      </c>
      <c r="F52" t="s">
        <v>92</v>
      </c>
      <c r="H52" s="2">
        <v>65.42</v>
      </c>
      <c r="I52" s="2">
        <v>-142990.68</v>
      </c>
      <c r="J52" s="2">
        <f t="shared" si="0"/>
        <v>-65.42</v>
      </c>
    </row>
    <row r="53" spans="1:10" x14ac:dyDescent="0.2">
      <c r="A53" s="3">
        <v>52</v>
      </c>
      <c r="B53" t="s">
        <v>93</v>
      </c>
      <c r="C53" s="1">
        <v>244293</v>
      </c>
      <c r="D53" t="s">
        <v>18</v>
      </c>
      <c r="E53" t="s">
        <v>91</v>
      </c>
      <c r="F53" t="s">
        <v>93</v>
      </c>
      <c r="H53" s="2">
        <v>18691.59</v>
      </c>
      <c r="I53" s="2">
        <v>-142990.68</v>
      </c>
      <c r="J53" s="2">
        <f t="shared" si="0"/>
        <v>-18691.59</v>
      </c>
    </row>
    <row r="54" spans="1:10" x14ac:dyDescent="0.2">
      <c r="A54" s="3">
        <v>53</v>
      </c>
      <c r="B54" t="s">
        <v>54</v>
      </c>
      <c r="C54" s="1">
        <v>244293</v>
      </c>
      <c r="D54" t="s">
        <v>18</v>
      </c>
      <c r="E54" t="s">
        <v>91</v>
      </c>
      <c r="F54" t="s">
        <v>54</v>
      </c>
      <c r="G54" s="2">
        <v>32710.28</v>
      </c>
      <c r="I54" s="2">
        <v>-142990.68</v>
      </c>
      <c r="J54" s="2">
        <f t="shared" si="0"/>
        <v>32710.28</v>
      </c>
    </row>
    <row r="55" spans="1:10" x14ac:dyDescent="0.2">
      <c r="A55" s="3">
        <v>54</v>
      </c>
      <c r="B55" t="s">
        <v>82</v>
      </c>
      <c r="C55" s="1">
        <v>244293</v>
      </c>
      <c r="D55" t="s">
        <v>18</v>
      </c>
      <c r="E55" t="s">
        <v>91</v>
      </c>
      <c r="F55" t="s">
        <v>82</v>
      </c>
      <c r="G55" s="2">
        <v>28037.38</v>
      </c>
      <c r="I55" s="2">
        <v>-100934.61</v>
      </c>
      <c r="J55" s="2">
        <f t="shared" si="0"/>
        <v>28037.38</v>
      </c>
    </row>
    <row r="56" spans="1:10" x14ac:dyDescent="0.2">
      <c r="A56" s="3">
        <v>55</v>
      </c>
      <c r="B56" t="s">
        <v>95</v>
      </c>
      <c r="C56" s="1">
        <v>244294</v>
      </c>
      <c r="D56" t="s">
        <v>18</v>
      </c>
      <c r="E56" t="s">
        <v>94</v>
      </c>
      <c r="F56" t="s">
        <v>95</v>
      </c>
      <c r="H56" s="2">
        <v>28037.38</v>
      </c>
      <c r="I56" s="2">
        <v>-128971.99</v>
      </c>
      <c r="J56" s="2">
        <f t="shared" si="0"/>
        <v>-28037.38</v>
      </c>
    </row>
    <row r="57" spans="1:10" x14ac:dyDescent="0.2">
      <c r="A57" s="3">
        <v>56</v>
      </c>
      <c r="B57" t="s">
        <v>93</v>
      </c>
      <c r="C57" s="1">
        <v>244295</v>
      </c>
      <c r="D57" t="s">
        <v>18</v>
      </c>
      <c r="E57" t="s">
        <v>96</v>
      </c>
      <c r="F57" t="s">
        <v>93</v>
      </c>
      <c r="G57" s="2">
        <v>18691.59</v>
      </c>
      <c r="I57" s="2">
        <v>-110280.4</v>
      </c>
      <c r="J57" s="2">
        <f t="shared" si="0"/>
        <v>18691.59</v>
      </c>
    </row>
    <row r="58" spans="1:10" x14ac:dyDescent="0.2">
      <c r="A58" s="3">
        <v>57</v>
      </c>
      <c r="B58" t="s">
        <v>88</v>
      </c>
      <c r="C58" s="1">
        <v>244295</v>
      </c>
      <c r="D58" t="s">
        <v>18</v>
      </c>
      <c r="E58" t="s">
        <v>96</v>
      </c>
      <c r="F58" t="s">
        <v>88</v>
      </c>
      <c r="G58" s="2">
        <v>4672.8999999999996</v>
      </c>
      <c r="I58" s="2">
        <v>-105607.5</v>
      </c>
      <c r="J58" s="2">
        <f t="shared" si="0"/>
        <v>4672.8999999999996</v>
      </c>
    </row>
    <row r="59" spans="1:10" x14ac:dyDescent="0.2">
      <c r="A59" s="3">
        <v>58</v>
      </c>
      <c r="B59" t="s">
        <v>97</v>
      </c>
      <c r="C59" s="1">
        <v>244295</v>
      </c>
      <c r="D59" t="s">
        <v>18</v>
      </c>
      <c r="E59" t="s">
        <v>96</v>
      </c>
      <c r="F59" t="s">
        <v>97</v>
      </c>
      <c r="H59" s="2">
        <v>2803.74</v>
      </c>
      <c r="I59" s="2">
        <v>-108411.24</v>
      </c>
      <c r="J59" s="2">
        <f t="shared" si="0"/>
        <v>-2803.74</v>
      </c>
    </row>
    <row r="60" spans="1:10" x14ac:dyDescent="0.2">
      <c r="A60" s="3">
        <v>59</v>
      </c>
      <c r="B60" t="s">
        <v>95</v>
      </c>
      <c r="C60" s="1">
        <v>244296</v>
      </c>
      <c r="D60" t="s">
        <v>18</v>
      </c>
      <c r="E60" t="s">
        <v>98</v>
      </c>
      <c r="F60" t="s">
        <v>95</v>
      </c>
      <c r="G60" s="2">
        <v>28037.38</v>
      </c>
      <c r="I60" s="2">
        <v>-80373.86</v>
      </c>
      <c r="J60" s="2">
        <f t="shared" si="0"/>
        <v>28037.38</v>
      </c>
    </row>
    <row r="61" spans="1:10" x14ac:dyDescent="0.2">
      <c r="A61" s="3">
        <v>60</v>
      </c>
      <c r="B61" t="s">
        <v>99</v>
      </c>
      <c r="C61" s="1">
        <v>244296</v>
      </c>
      <c r="D61" t="s">
        <v>18</v>
      </c>
      <c r="E61" t="s">
        <v>98</v>
      </c>
      <c r="F61" t="s">
        <v>99</v>
      </c>
      <c r="H61" s="2">
        <v>1869.16</v>
      </c>
      <c r="I61" s="2">
        <v>-82243.02</v>
      </c>
      <c r="J61" s="2">
        <f t="shared" si="0"/>
        <v>-1869.16</v>
      </c>
    </row>
    <row r="62" spans="1:10" x14ac:dyDescent="0.2">
      <c r="A62" s="3">
        <v>61</v>
      </c>
      <c r="B62" t="s">
        <v>101</v>
      </c>
      <c r="C62" s="1">
        <v>244298</v>
      </c>
      <c r="D62" t="s">
        <v>18</v>
      </c>
      <c r="E62" t="s">
        <v>100</v>
      </c>
      <c r="F62" t="s">
        <v>101</v>
      </c>
      <c r="H62" s="2">
        <v>2803.74</v>
      </c>
      <c r="I62" s="2">
        <v>-85046.76</v>
      </c>
      <c r="J62" s="2">
        <f t="shared" si="0"/>
        <v>-2803.74</v>
      </c>
    </row>
    <row r="63" spans="1:10" x14ac:dyDescent="0.2">
      <c r="A63" s="3">
        <v>62</v>
      </c>
      <c r="B63" t="s">
        <v>59</v>
      </c>
      <c r="C63" s="1">
        <v>244298</v>
      </c>
      <c r="D63" t="s">
        <v>18</v>
      </c>
      <c r="E63" t="s">
        <v>100</v>
      </c>
      <c r="F63" t="s">
        <v>59</v>
      </c>
      <c r="G63" s="2">
        <v>4672.8999999999996</v>
      </c>
      <c r="I63" s="2">
        <v>-80373.86</v>
      </c>
      <c r="J63" s="2">
        <f t="shared" si="0"/>
        <v>4672.8999999999996</v>
      </c>
    </row>
    <row r="64" spans="1:10" x14ac:dyDescent="0.2">
      <c r="A64" s="3">
        <v>63</v>
      </c>
      <c r="B64" t="s">
        <v>74</v>
      </c>
      <c r="C64" s="1">
        <v>244298</v>
      </c>
      <c r="D64" t="s">
        <v>18</v>
      </c>
      <c r="E64" t="s">
        <v>100</v>
      </c>
      <c r="F64" t="s">
        <v>74</v>
      </c>
      <c r="G64" s="2">
        <v>28037.38</v>
      </c>
      <c r="I64" s="2">
        <v>-52336.480000000003</v>
      </c>
      <c r="J64" s="2">
        <f t="shared" si="0"/>
        <v>28037.38</v>
      </c>
    </row>
    <row r="65" spans="1:10" x14ac:dyDescent="0.2">
      <c r="A65" s="3">
        <v>64</v>
      </c>
      <c r="B65" t="s">
        <v>102</v>
      </c>
      <c r="C65" s="1">
        <v>244298</v>
      </c>
      <c r="D65" t="s">
        <v>18</v>
      </c>
      <c r="E65" t="s">
        <v>100</v>
      </c>
      <c r="F65" t="s">
        <v>102</v>
      </c>
      <c r="H65" s="2">
        <v>28037.38</v>
      </c>
      <c r="I65" s="2">
        <v>-80373.86</v>
      </c>
      <c r="J65" s="2">
        <f t="shared" ref="J65:J128" si="1">G65-H65</f>
        <v>-28037.38</v>
      </c>
    </row>
    <row r="66" spans="1:10" x14ac:dyDescent="0.2">
      <c r="A66" s="3">
        <v>65</v>
      </c>
      <c r="B66" t="s">
        <v>103</v>
      </c>
      <c r="C66" s="1">
        <v>244298</v>
      </c>
      <c r="D66" t="s">
        <v>18</v>
      </c>
      <c r="E66" t="s">
        <v>100</v>
      </c>
      <c r="F66" t="s">
        <v>103</v>
      </c>
      <c r="H66" s="2">
        <v>4672.8999999999996</v>
      </c>
      <c r="I66" s="2">
        <v>-85046.76</v>
      </c>
      <c r="J66" s="2">
        <f t="shared" si="1"/>
        <v>-4672.8999999999996</v>
      </c>
    </row>
    <row r="67" spans="1:10" x14ac:dyDescent="0.2">
      <c r="A67" s="3">
        <v>66</v>
      </c>
      <c r="B67" t="s">
        <v>104</v>
      </c>
      <c r="C67" s="1">
        <v>244298</v>
      </c>
      <c r="D67" t="s">
        <v>18</v>
      </c>
      <c r="E67" t="s">
        <v>100</v>
      </c>
      <c r="F67" t="s">
        <v>104</v>
      </c>
      <c r="H67" s="2">
        <v>2803.74</v>
      </c>
      <c r="I67" s="2">
        <v>-87850.5</v>
      </c>
      <c r="J67" s="2">
        <f t="shared" si="1"/>
        <v>-2803.74</v>
      </c>
    </row>
    <row r="68" spans="1:10" x14ac:dyDescent="0.2">
      <c r="A68" s="3">
        <v>67</v>
      </c>
      <c r="B68" t="s">
        <v>105</v>
      </c>
      <c r="C68" s="1">
        <v>244298</v>
      </c>
      <c r="D68" t="s">
        <v>18</v>
      </c>
      <c r="E68" t="s">
        <v>100</v>
      </c>
      <c r="F68" t="s">
        <v>105</v>
      </c>
      <c r="H68" s="2">
        <v>4672.8999999999996</v>
      </c>
      <c r="I68" s="2">
        <v>-92523.4</v>
      </c>
      <c r="J68" s="2">
        <f t="shared" si="1"/>
        <v>-4672.8999999999996</v>
      </c>
    </row>
    <row r="69" spans="1:10" x14ac:dyDescent="0.2">
      <c r="A69" s="3">
        <v>68</v>
      </c>
      <c r="B69" t="s">
        <v>107</v>
      </c>
      <c r="C69" s="1">
        <v>244299</v>
      </c>
      <c r="D69" t="s">
        <v>18</v>
      </c>
      <c r="E69" t="s">
        <v>106</v>
      </c>
      <c r="F69" t="s">
        <v>107</v>
      </c>
      <c r="H69" s="2">
        <v>28037.38</v>
      </c>
      <c r="I69" s="2">
        <v>-120560.78</v>
      </c>
      <c r="J69" s="2">
        <f t="shared" si="1"/>
        <v>-28037.38</v>
      </c>
    </row>
    <row r="70" spans="1:10" x14ac:dyDescent="0.2">
      <c r="A70" s="3">
        <v>69</v>
      </c>
      <c r="B70" t="s">
        <v>107</v>
      </c>
      <c r="C70" s="1">
        <v>244302</v>
      </c>
      <c r="D70" t="s">
        <v>18</v>
      </c>
      <c r="E70" t="s">
        <v>108</v>
      </c>
      <c r="F70" t="s">
        <v>107</v>
      </c>
      <c r="G70" s="2">
        <v>28037.38</v>
      </c>
      <c r="I70" s="2">
        <v>-92523.4</v>
      </c>
      <c r="J70" s="2">
        <f t="shared" si="1"/>
        <v>28037.38</v>
      </c>
    </row>
    <row r="71" spans="1:10" x14ac:dyDescent="0.2">
      <c r="A71" s="3">
        <v>70</v>
      </c>
      <c r="B71" t="s">
        <v>110</v>
      </c>
      <c r="C71" s="1">
        <v>244303</v>
      </c>
      <c r="D71" t="s">
        <v>18</v>
      </c>
      <c r="E71" t="s">
        <v>109</v>
      </c>
      <c r="F71" t="s">
        <v>110</v>
      </c>
      <c r="H71" s="2">
        <v>2803.74</v>
      </c>
      <c r="I71" s="2">
        <v>-95327.14</v>
      </c>
      <c r="J71" s="2">
        <f t="shared" si="1"/>
        <v>-2803.74</v>
      </c>
    </row>
    <row r="72" spans="1:10" x14ac:dyDescent="0.2">
      <c r="A72" s="3">
        <v>71</v>
      </c>
      <c r="B72" t="s">
        <v>111</v>
      </c>
      <c r="C72" s="1">
        <v>244303</v>
      </c>
      <c r="D72" t="s">
        <v>18</v>
      </c>
      <c r="E72" t="s">
        <v>109</v>
      </c>
      <c r="F72" t="s">
        <v>111</v>
      </c>
      <c r="H72" s="2">
        <v>4672.8999999999996</v>
      </c>
      <c r="I72" s="2">
        <v>-100000.04</v>
      </c>
      <c r="J72" s="2">
        <f t="shared" si="1"/>
        <v>-4672.8999999999996</v>
      </c>
    </row>
    <row r="73" spans="1:10" x14ac:dyDescent="0.2">
      <c r="A73" s="3">
        <v>72</v>
      </c>
      <c r="B73" t="s">
        <v>112</v>
      </c>
      <c r="C73" s="1">
        <v>244303</v>
      </c>
      <c r="D73" t="s">
        <v>18</v>
      </c>
      <c r="E73" t="s">
        <v>109</v>
      </c>
      <c r="F73" t="s">
        <v>112</v>
      </c>
      <c r="H73" s="2">
        <v>28037.38</v>
      </c>
      <c r="I73" s="2">
        <v>-128037.42</v>
      </c>
      <c r="J73" s="2">
        <f t="shared" si="1"/>
        <v>-28037.38</v>
      </c>
    </row>
    <row r="74" spans="1:10" x14ac:dyDescent="0.2">
      <c r="A74" s="3">
        <v>73</v>
      </c>
      <c r="B74" t="s">
        <v>113</v>
      </c>
      <c r="C74" s="1">
        <v>244303</v>
      </c>
      <c r="D74" t="s">
        <v>18</v>
      </c>
      <c r="E74" t="s">
        <v>109</v>
      </c>
      <c r="F74" t="s">
        <v>113</v>
      </c>
      <c r="H74" s="2">
        <v>2803.74</v>
      </c>
      <c r="I74" s="2">
        <v>-130841.16</v>
      </c>
      <c r="J74" s="2">
        <f t="shared" si="1"/>
        <v>-2803.74</v>
      </c>
    </row>
    <row r="75" spans="1:10" x14ac:dyDescent="0.2">
      <c r="A75" s="3">
        <v>74</v>
      </c>
      <c r="B75" t="s">
        <v>114</v>
      </c>
      <c r="C75" s="1">
        <v>244303</v>
      </c>
      <c r="D75" t="s">
        <v>18</v>
      </c>
      <c r="E75" t="s">
        <v>109</v>
      </c>
      <c r="F75" t="s">
        <v>114</v>
      </c>
      <c r="H75" s="2">
        <v>9345.7900000000009</v>
      </c>
      <c r="I75" s="2">
        <v>-140186.95000000001</v>
      </c>
      <c r="J75" s="2">
        <f t="shared" si="1"/>
        <v>-9345.7900000000009</v>
      </c>
    </row>
    <row r="76" spans="1:10" x14ac:dyDescent="0.2">
      <c r="A76" s="3">
        <v>75</v>
      </c>
      <c r="B76" t="s">
        <v>70</v>
      </c>
      <c r="C76" s="1">
        <v>244305</v>
      </c>
      <c r="D76" t="s">
        <v>18</v>
      </c>
      <c r="E76" t="s">
        <v>115</v>
      </c>
      <c r="F76" t="s">
        <v>70</v>
      </c>
      <c r="G76" s="2">
        <v>2803.74</v>
      </c>
      <c r="I76" s="2">
        <v>-137383.21</v>
      </c>
      <c r="J76" s="2">
        <f t="shared" si="1"/>
        <v>2803.74</v>
      </c>
    </row>
    <row r="77" spans="1:10" x14ac:dyDescent="0.2">
      <c r="A77" s="3">
        <v>76</v>
      </c>
      <c r="B77" t="s">
        <v>116</v>
      </c>
      <c r="C77" s="1">
        <v>244305</v>
      </c>
      <c r="D77" t="s">
        <v>18</v>
      </c>
      <c r="E77" t="s">
        <v>115</v>
      </c>
      <c r="F77" t="s">
        <v>116</v>
      </c>
      <c r="H77" s="2">
        <v>4672.8999999999996</v>
      </c>
      <c r="I77" s="2">
        <v>-142056.10999999999</v>
      </c>
      <c r="J77" s="2">
        <f t="shared" si="1"/>
        <v>-4672.8999999999996</v>
      </c>
    </row>
    <row r="78" spans="1:10" x14ac:dyDescent="0.2">
      <c r="A78" s="3">
        <v>77</v>
      </c>
      <c r="B78" t="s">
        <v>117</v>
      </c>
      <c r="C78" s="1">
        <v>244305</v>
      </c>
      <c r="D78" t="s">
        <v>18</v>
      </c>
      <c r="E78" t="s">
        <v>115</v>
      </c>
      <c r="F78" t="s">
        <v>117</v>
      </c>
      <c r="H78" s="2">
        <v>23364.49</v>
      </c>
      <c r="I78" s="2">
        <v>-165420.6</v>
      </c>
      <c r="J78" s="2">
        <f t="shared" si="1"/>
        <v>-23364.49</v>
      </c>
    </row>
    <row r="79" spans="1:10" x14ac:dyDescent="0.2">
      <c r="A79" s="3">
        <v>78</v>
      </c>
      <c r="B79" t="s">
        <v>118</v>
      </c>
      <c r="C79" s="1">
        <v>244305</v>
      </c>
      <c r="D79" t="s">
        <v>18</v>
      </c>
      <c r="E79" t="s">
        <v>115</v>
      </c>
      <c r="F79" t="s">
        <v>118</v>
      </c>
      <c r="H79" s="2">
        <v>2803.74</v>
      </c>
      <c r="I79" s="2">
        <v>-168224.34</v>
      </c>
      <c r="J79" s="2">
        <f t="shared" si="1"/>
        <v>-2803.74</v>
      </c>
    </row>
    <row r="80" spans="1:10" x14ac:dyDescent="0.2">
      <c r="A80" s="3">
        <v>79</v>
      </c>
      <c r="B80" t="s">
        <v>120</v>
      </c>
      <c r="C80" s="1">
        <v>244306</v>
      </c>
      <c r="D80" t="s">
        <v>18</v>
      </c>
      <c r="E80" t="s">
        <v>119</v>
      </c>
      <c r="F80" t="s">
        <v>120</v>
      </c>
      <c r="H80" s="2">
        <v>2803.74</v>
      </c>
      <c r="I80" s="2">
        <v>-171028.08</v>
      </c>
      <c r="J80" s="2">
        <f t="shared" si="1"/>
        <v>-2803.74</v>
      </c>
    </row>
    <row r="81" spans="1:10" x14ac:dyDescent="0.2">
      <c r="A81" s="3">
        <v>80</v>
      </c>
      <c r="B81" t="s">
        <v>121</v>
      </c>
      <c r="C81" s="1">
        <v>244306</v>
      </c>
      <c r="D81" t="s">
        <v>18</v>
      </c>
      <c r="E81" t="s">
        <v>119</v>
      </c>
      <c r="F81" t="s">
        <v>121</v>
      </c>
      <c r="H81" s="2">
        <v>4672.8999999999996</v>
      </c>
      <c r="I81" s="2">
        <v>-175700.98</v>
      </c>
      <c r="J81" s="2">
        <f t="shared" si="1"/>
        <v>-4672.8999999999996</v>
      </c>
    </row>
    <row r="82" spans="1:10" x14ac:dyDescent="0.2">
      <c r="A82" s="3">
        <v>81</v>
      </c>
      <c r="B82" t="s">
        <v>71</v>
      </c>
      <c r="C82" s="1">
        <v>244307</v>
      </c>
      <c r="D82" t="s">
        <v>18</v>
      </c>
      <c r="E82" t="s">
        <v>122</v>
      </c>
      <c r="F82" t="s">
        <v>71</v>
      </c>
      <c r="G82" s="2">
        <v>2803.74</v>
      </c>
      <c r="I82" s="2">
        <v>-172897.24</v>
      </c>
      <c r="J82" s="2">
        <f t="shared" si="1"/>
        <v>2803.74</v>
      </c>
    </row>
    <row r="83" spans="1:10" x14ac:dyDescent="0.2">
      <c r="A83" s="3">
        <v>82</v>
      </c>
      <c r="B83" t="s">
        <v>123</v>
      </c>
      <c r="C83" s="1">
        <v>244307</v>
      </c>
      <c r="D83" t="s">
        <v>18</v>
      </c>
      <c r="E83" t="s">
        <v>122</v>
      </c>
      <c r="F83" t="s">
        <v>123</v>
      </c>
      <c r="H83" s="14">
        <v>5607.48</v>
      </c>
      <c r="I83" s="2">
        <v>-178504.72</v>
      </c>
      <c r="J83" s="2">
        <f t="shared" si="1"/>
        <v>-5607.48</v>
      </c>
    </row>
    <row r="84" spans="1:10" x14ac:dyDescent="0.2">
      <c r="A84" s="3">
        <v>83</v>
      </c>
      <c r="B84" t="s">
        <v>125</v>
      </c>
      <c r="C84" s="1">
        <v>244308</v>
      </c>
      <c r="D84" t="s">
        <v>18</v>
      </c>
      <c r="E84" t="s">
        <v>124</v>
      </c>
      <c r="F84" t="s">
        <v>125</v>
      </c>
      <c r="H84" s="2">
        <v>2803.74</v>
      </c>
      <c r="I84" s="2">
        <v>-181308.46</v>
      </c>
      <c r="J84" s="2">
        <f t="shared" si="1"/>
        <v>-2803.74</v>
      </c>
    </row>
    <row r="85" spans="1:10" x14ac:dyDescent="0.2">
      <c r="A85" s="3">
        <v>84</v>
      </c>
      <c r="B85" t="s">
        <v>127</v>
      </c>
      <c r="C85" s="1">
        <v>244310</v>
      </c>
      <c r="D85" t="s">
        <v>18</v>
      </c>
      <c r="E85" t="s">
        <v>126</v>
      </c>
      <c r="F85" t="s">
        <v>127</v>
      </c>
      <c r="H85" s="2">
        <v>4672.8999999999996</v>
      </c>
      <c r="I85" s="2">
        <v>-185981.36</v>
      </c>
      <c r="J85" s="2">
        <f t="shared" si="1"/>
        <v>-4672.8999999999996</v>
      </c>
    </row>
    <row r="86" spans="1:10" x14ac:dyDescent="0.2">
      <c r="A86" s="3">
        <v>85</v>
      </c>
      <c r="B86" t="s">
        <v>127</v>
      </c>
      <c r="C86" s="1">
        <v>244312</v>
      </c>
      <c r="D86" t="s">
        <v>18</v>
      </c>
      <c r="E86" t="s">
        <v>128</v>
      </c>
      <c r="F86" t="s">
        <v>127</v>
      </c>
      <c r="G86" s="2">
        <v>4672.8999999999996</v>
      </c>
      <c r="I86" s="2">
        <v>-181308.46</v>
      </c>
      <c r="J86" s="2">
        <f t="shared" si="1"/>
        <v>4672.8999999999996</v>
      </c>
    </row>
    <row r="87" spans="1:10" x14ac:dyDescent="0.2">
      <c r="A87" s="3">
        <v>86</v>
      </c>
      <c r="B87" t="s">
        <v>117</v>
      </c>
      <c r="C87" s="1">
        <v>244312</v>
      </c>
      <c r="D87" t="s">
        <v>18</v>
      </c>
      <c r="E87" t="s">
        <v>128</v>
      </c>
      <c r="F87" t="s">
        <v>117</v>
      </c>
      <c r="G87" s="2">
        <v>23364.49</v>
      </c>
      <c r="I87" s="2">
        <v>-157943.97</v>
      </c>
      <c r="J87" s="2">
        <f t="shared" si="1"/>
        <v>23364.49</v>
      </c>
    </row>
    <row r="88" spans="1:10" x14ac:dyDescent="0.2">
      <c r="A88" s="3">
        <v>87</v>
      </c>
      <c r="B88" t="s">
        <v>129</v>
      </c>
      <c r="C88" s="1">
        <v>244312</v>
      </c>
      <c r="D88" t="s">
        <v>18</v>
      </c>
      <c r="E88" t="s">
        <v>128</v>
      </c>
      <c r="F88" t="s">
        <v>129</v>
      </c>
      <c r="H88" s="2">
        <v>4672.8999999999996</v>
      </c>
      <c r="I88" s="2">
        <v>-162616.87</v>
      </c>
      <c r="J88" s="2">
        <f t="shared" si="1"/>
        <v>-4672.8999999999996</v>
      </c>
    </row>
    <row r="89" spans="1:10" x14ac:dyDescent="0.2">
      <c r="A89" s="3">
        <v>88</v>
      </c>
      <c r="B89" t="s">
        <v>90</v>
      </c>
      <c r="C89" s="1">
        <v>244312</v>
      </c>
      <c r="D89" t="s">
        <v>18</v>
      </c>
      <c r="E89" t="s">
        <v>128</v>
      </c>
      <c r="F89" t="s">
        <v>90</v>
      </c>
      <c r="G89" s="2">
        <v>4672.8999999999996</v>
      </c>
      <c r="I89" s="2">
        <v>-157943.97</v>
      </c>
      <c r="J89" s="2">
        <f t="shared" si="1"/>
        <v>4672.8999999999996</v>
      </c>
    </row>
    <row r="90" spans="1:10" x14ac:dyDescent="0.2">
      <c r="A90" s="3">
        <v>89</v>
      </c>
      <c r="B90" t="s">
        <v>130</v>
      </c>
      <c r="C90" s="1">
        <v>244312</v>
      </c>
      <c r="D90" t="s">
        <v>18</v>
      </c>
      <c r="E90" t="s">
        <v>128</v>
      </c>
      <c r="F90" t="s">
        <v>130</v>
      </c>
      <c r="H90" s="2">
        <v>4672.8999999999996</v>
      </c>
      <c r="I90" s="2">
        <v>-162616.87</v>
      </c>
      <c r="J90" s="2">
        <f t="shared" si="1"/>
        <v>-4672.8999999999996</v>
      </c>
    </row>
    <row r="91" spans="1:10" x14ac:dyDescent="0.2">
      <c r="A91" s="3">
        <v>90</v>
      </c>
      <c r="B91" t="s">
        <v>102</v>
      </c>
      <c r="C91" s="1">
        <v>244312</v>
      </c>
      <c r="D91" t="s">
        <v>18</v>
      </c>
      <c r="E91" t="s">
        <v>128</v>
      </c>
      <c r="F91" t="s">
        <v>102</v>
      </c>
      <c r="G91" s="2">
        <v>28037.38</v>
      </c>
      <c r="I91" s="2">
        <v>-134579.49</v>
      </c>
      <c r="J91" s="2">
        <f t="shared" si="1"/>
        <v>28037.38</v>
      </c>
    </row>
    <row r="92" spans="1:10" x14ac:dyDescent="0.2">
      <c r="A92" s="3">
        <v>91</v>
      </c>
      <c r="B92" t="s">
        <v>131</v>
      </c>
      <c r="C92" s="1">
        <v>244312</v>
      </c>
      <c r="D92" t="s">
        <v>18</v>
      </c>
      <c r="E92" t="s">
        <v>128</v>
      </c>
      <c r="F92" t="s">
        <v>131</v>
      </c>
      <c r="H92" s="2">
        <v>2803.74</v>
      </c>
      <c r="I92" s="2">
        <v>-137383.23000000001</v>
      </c>
      <c r="J92" s="2">
        <f t="shared" si="1"/>
        <v>-2803.74</v>
      </c>
    </row>
    <row r="93" spans="1:10" x14ac:dyDescent="0.2">
      <c r="A93" s="3">
        <v>92</v>
      </c>
      <c r="B93" t="s">
        <v>132</v>
      </c>
      <c r="C93" s="1">
        <v>244312</v>
      </c>
      <c r="D93" t="s">
        <v>18</v>
      </c>
      <c r="E93" t="s">
        <v>128</v>
      </c>
      <c r="F93" t="s">
        <v>132</v>
      </c>
      <c r="H93" s="2">
        <v>4672.8999999999996</v>
      </c>
      <c r="I93" s="2">
        <v>-142056.13</v>
      </c>
      <c r="J93" s="2">
        <f t="shared" si="1"/>
        <v>-4672.8999999999996</v>
      </c>
    </row>
    <row r="94" spans="1:10" x14ac:dyDescent="0.2">
      <c r="A94" s="3">
        <v>93</v>
      </c>
      <c r="B94" t="s">
        <v>105</v>
      </c>
      <c r="C94" s="1">
        <v>244314</v>
      </c>
      <c r="D94" t="s">
        <v>18</v>
      </c>
      <c r="E94" t="s">
        <v>133</v>
      </c>
      <c r="F94" t="s">
        <v>105</v>
      </c>
      <c r="G94" s="2">
        <v>4672.8999999999996</v>
      </c>
      <c r="I94" s="2">
        <v>-137383.23000000001</v>
      </c>
      <c r="J94" s="2">
        <f t="shared" si="1"/>
        <v>4672.8999999999996</v>
      </c>
    </row>
    <row r="95" spans="1:10" x14ac:dyDescent="0.2">
      <c r="A95" s="3">
        <v>94</v>
      </c>
      <c r="B95" t="s">
        <v>121</v>
      </c>
      <c r="C95" s="1">
        <v>244314</v>
      </c>
      <c r="D95" t="s">
        <v>18</v>
      </c>
      <c r="E95" t="s">
        <v>134</v>
      </c>
      <c r="F95" t="s">
        <v>121</v>
      </c>
      <c r="G95" s="2">
        <v>4672.8999999999996</v>
      </c>
      <c r="I95" s="2">
        <v>-132710.32999999999</v>
      </c>
      <c r="J95" s="2">
        <f t="shared" si="1"/>
        <v>4672.8999999999996</v>
      </c>
    </row>
    <row r="96" spans="1:10" x14ac:dyDescent="0.2">
      <c r="A96" s="3">
        <v>95</v>
      </c>
      <c r="B96" t="s">
        <v>112</v>
      </c>
      <c r="C96" s="1">
        <v>244315</v>
      </c>
      <c r="D96" t="s">
        <v>18</v>
      </c>
      <c r="E96" t="s">
        <v>135</v>
      </c>
      <c r="F96" t="s">
        <v>112</v>
      </c>
      <c r="G96" s="2">
        <v>28037.38</v>
      </c>
      <c r="I96" s="2">
        <v>-104672.95</v>
      </c>
      <c r="J96" s="2">
        <f t="shared" si="1"/>
        <v>28037.38</v>
      </c>
    </row>
    <row r="97" spans="1:10" x14ac:dyDescent="0.2">
      <c r="A97" s="3">
        <v>96</v>
      </c>
      <c r="B97" t="s">
        <v>136</v>
      </c>
      <c r="C97" s="1">
        <v>244315</v>
      </c>
      <c r="D97" t="s">
        <v>18</v>
      </c>
      <c r="E97" t="s">
        <v>135</v>
      </c>
      <c r="F97" t="s">
        <v>136</v>
      </c>
      <c r="H97" s="2">
        <v>2803.74</v>
      </c>
      <c r="I97" s="2">
        <v>-107476.69</v>
      </c>
      <c r="J97" s="2">
        <f t="shared" si="1"/>
        <v>-2803.74</v>
      </c>
    </row>
    <row r="98" spans="1:10" x14ac:dyDescent="0.2">
      <c r="A98" s="3">
        <v>97</v>
      </c>
      <c r="B98" t="s">
        <v>130</v>
      </c>
      <c r="C98" s="1">
        <v>244315</v>
      </c>
      <c r="D98" t="s">
        <v>18</v>
      </c>
      <c r="E98" t="s">
        <v>135</v>
      </c>
      <c r="F98" t="s">
        <v>130</v>
      </c>
      <c r="G98" s="2">
        <v>4672.8999999999996</v>
      </c>
      <c r="I98" s="2">
        <v>-102803.79</v>
      </c>
      <c r="J98" s="2">
        <f t="shared" si="1"/>
        <v>4672.8999999999996</v>
      </c>
    </row>
    <row r="99" spans="1:10" x14ac:dyDescent="0.2">
      <c r="A99" s="3">
        <v>98</v>
      </c>
      <c r="B99" t="s">
        <v>87</v>
      </c>
      <c r="C99" s="1">
        <v>244316</v>
      </c>
      <c r="D99" t="s">
        <v>60</v>
      </c>
      <c r="E99" t="s">
        <v>137</v>
      </c>
      <c r="F99" t="s">
        <v>138</v>
      </c>
      <c r="G99" s="2">
        <v>2803.74</v>
      </c>
      <c r="I99" s="2">
        <v>-100000.05</v>
      </c>
      <c r="J99" s="2">
        <f t="shared" si="1"/>
        <v>2803.74</v>
      </c>
    </row>
    <row r="100" spans="1:10" x14ac:dyDescent="0.2">
      <c r="A100" s="3">
        <v>99</v>
      </c>
      <c r="B100" t="s">
        <v>72</v>
      </c>
      <c r="C100" s="1">
        <v>244316</v>
      </c>
      <c r="D100" t="s">
        <v>60</v>
      </c>
      <c r="E100" t="s">
        <v>137</v>
      </c>
      <c r="F100" t="s">
        <v>139</v>
      </c>
      <c r="G100" s="2">
        <v>4672.8999999999996</v>
      </c>
      <c r="I100" s="2">
        <v>-95327.15</v>
      </c>
      <c r="J100" s="2">
        <f t="shared" si="1"/>
        <v>4672.8999999999996</v>
      </c>
    </row>
    <row r="101" spans="1:10" x14ac:dyDescent="0.2">
      <c r="A101" s="3">
        <v>100</v>
      </c>
      <c r="B101" t="s">
        <v>141</v>
      </c>
      <c r="C101" s="1">
        <v>244316</v>
      </c>
      <c r="D101" t="s">
        <v>18</v>
      </c>
      <c r="E101" t="s">
        <v>140</v>
      </c>
      <c r="F101" t="s">
        <v>141</v>
      </c>
      <c r="H101" s="2">
        <v>4672.8999999999996</v>
      </c>
      <c r="I101" s="2">
        <v>-100000.05</v>
      </c>
      <c r="J101" s="2">
        <f t="shared" si="1"/>
        <v>-4672.8999999999996</v>
      </c>
    </row>
    <row r="102" spans="1:10" x14ac:dyDescent="0.2">
      <c r="A102" s="3">
        <v>101</v>
      </c>
      <c r="B102" t="s">
        <v>143</v>
      </c>
      <c r="C102" s="1">
        <v>244317</v>
      </c>
      <c r="D102" t="s">
        <v>18</v>
      </c>
      <c r="E102" t="s">
        <v>142</v>
      </c>
      <c r="F102" t="s">
        <v>143</v>
      </c>
      <c r="H102" s="2">
        <v>4672.8999999999996</v>
      </c>
      <c r="I102" s="2">
        <v>-104672.95</v>
      </c>
      <c r="J102" s="2">
        <f t="shared" si="1"/>
        <v>-4672.8999999999996</v>
      </c>
    </row>
    <row r="103" spans="1:10" x14ac:dyDescent="0.2">
      <c r="A103" s="3">
        <v>102</v>
      </c>
      <c r="B103" t="s">
        <v>144</v>
      </c>
      <c r="C103" s="1">
        <v>244317</v>
      </c>
      <c r="D103" t="s">
        <v>18</v>
      </c>
      <c r="E103" t="s">
        <v>142</v>
      </c>
      <c r="F103" t="s">
        <v>144</v>
      </c>
      <c r="H103" s="2">
        <v>2803.74</v>
      </c>
      <c r="I103" s="2">
        <v>-107476.69</v>
      </c>
      <c r="J103" s="2">
        <f t="shared" si="1"/>
        <v>-2803.74</v>
      </c>
    </row>
    <row r="104" spans="1:10" x14ac:dyDescent="0.2">
      <c r="A104" s="3">
        <v>103</v>
      </c>
      <c r="B104" t="s">
        <v>145</v>
      </c>
      <c r="C104" s="1">
        <v>244317</v>
      </c>
      <c r="D104" t="s">
        <v>18</v>
      </c>
      <c r="E104" t="s">
        <v>142</v>
      </c>
      <c r="F104" t="s">
        <v>145</v>
      </c>
      <c r="H104" s="2">
        <v>4672.8999999999996</v>
      </c>
      <c r="I104" s="2">
        <v>-112149.59</v>
      </c>
      <c r="J104" s="2">
        <f t="shared" si="1"/>
        <v>-4672.8999999999996</v>
      </c>
    </row>
    <row r="105" spans="1:10" x14ac:dyDescent="0.2">
      <c r="A105" s="3">
        <v>104</v>
      </c>
      <c r="B105" t="s">
        <v>104</v>
      </c>
      <c r="C105" s="1">
        <v>244319</v>
      </c>
      <c r="D105" t="s">
        <v>18</v>
      </c>
      <c r="E105" t="s">
        <v>146</v>
      </c>
      <c r="F105" t="s">
        <v>147</v>
      </c>
      <c r="G105" s="2">
        <v>3000</v>
      </c>
      <c r="I105" s="2">
        <v>-109149.59</v>
      </c>
      <c r="J105" s="2">
        <f t="shared" si="1"/>
        <v>3000</v>
      </c>
    </row>
    <row r="106" spans="1:10" x14ac:dyDescent="0.2">
      <c r="A106" s="3">
        <v>105</v>
      </c>
      <c r="B106" t="s">
        <v>141</v>
      </c>
      <c r="C106" s="1">
        <v>244319</v>
      </c>
      <c r="D106" t="s">
        <v>18</v>
      </c>
      <c r="E106" t="s">
        <v>146</v>
      </c>
      <c r="F106" t="s">
        <v>148</v>
      </c>
      <c r="G106" s="2">
        <v>5000</v>
      </c>
      <c r="I106" s="2">
        <v>-104149.59</v>
      </c>
      <c r="J106" s="2">
        <f t="shared" si="1"/>
        <v>5000</v>
      </c>
    </row>
    <row r="107" spans="1:10" x14ac:dyDescent="0.2">
      <c r="A107" s="3">
        <v>106</v>
      </c>
      <c r="B107" t="s">
        <v>114</v>
      </c>
      <c r="C107" s="1">
        <v>244319</v>
      </c>
      <c r="D107" t="s">
        <v>18</v>
      </c>
      <c r="E107" t="s">
        <v>146</v>
      </c>
      <c r="F107" t="s">
        <v>149</v>
      </c>
      <c r="G107" s="2">
        <v>10000</v>
      </c>
      <c r="I107" s="2">
        <v>-94149.59</v>
      </c>
      <c r="J107" s="2">
        <f t="shared" si="1"/>
        <v>10000</v>
      </c>
    </row>
    <row r="108" spans="1:10" x14ac:dyDescent="0.2">
      <c r="A108" s="3">
        <v>107</v>
      </c>
      <c r="B108" t="s">
        <v>99</v>
      </c>
      <c r="C108" s="1">
        <v>244319</v>
      </c>
      <c r="D108" t="s">
        <v>18</v>
      </c>
      <c r="E108" t="s">
        <v>146</v>
      </c>
      <c r="F108" t="s">
        <v>149</v>
      </c>
      <c r="G108" s="2">
        <v>2000</v>
      </c>
      <c r="I108" s="2">
        <v>-92149.59</v>
      </c>
      <c r="J108" s="2">
        <f t="shared" si="1"/>
        <v>2000</v>
      </c>
    </row>
    <row r="109" spans="1:10" x14ac:dyDescent="0.2">
      <c r="A109" s="3">
        <v>108</v>
      </c>
      <c r="B109" t="s">
        <v>151</v>
      </c>
      <c r="C109" s="1">
        <v>244320</v>
      </c>
      <c r="D109" t="s">
        <v>18</v>
      </c>
      <c r="E109" t="s">
        <v>150</v>
      </c>
      <c r="F109" t="s">
        <v>151</v>
      </c>
      <c r="H109" s="2">
        <v>5000</v>
      </c>
      <c r="I109" s="2">
        <v>-97149.59</v>
      </c>
      <c r="J109" s="2">
        <f t="shared" si="1"/>
        <v>-5000</v>
      </c>
    </row>
    <row r="110" spans="1:10" x14ac:dyDescent="0.2">
      <c r="A110" s="3">
        <v>109</v>
      </c>
      <c r="B110" t="s">
        <v>242</v>
      </c>
      <c r="C110" s="1">
        <v>244320</v>
      </c>
      <c r="D110" t="s">
        <v>18</v>
      </c>
      <c r="E110" t="s">
        <v>150</v>
      </c>
      <c r="F110" t="s">
        <v>152</v>
      </c>
      <c r="H110" s="2">
        <v>10000</v>
      </c>
      <c r="I110" s="2">
        <v>-107149.59</v>
      </c>
      <c r="J110" s="2">
        <f t="shared" si="1"/>
        <v>-10000</v>
      </c>
    </row>
    <row r="111" spans="1:10" x14ac:dyDescent="0.2">
      <c r="A111" s="3">
        <v>110</v>
      </c>
      <c r="B111" s="16" t="s">
        <v>154</v>
      </c>
      <c r="C111" s="1">
        <v>244321</v>
      </c>
      <c r="D111" t="s">
        <v>18</v>
      </c>
      <c r="E111" t="s">
        <v>153</v>
      </c>
      <c r="F111" t="s">
        <v>154</v>
      </c>
      <c r="H111" s="2">
        <v>2000</v>
      </c>
      <c r="I111" s="2">
        <v>-109149.59</v>
      </c>
      <c r="J111" s="2">
        <f t="shared" si="1"/>
        <v>-2000</v>
      </c>
    </row>
    <row r="112" spans="1:10" x14ac:dyDescent="0.2">
      <c r="A112" s="3">
        <v>111</v>
      </c>
      <c r="B112" t="s">
        <v>482</v>
      </c>
      <c r="C112" s="1">
        <v>244321</v>
      </c>
      <c r="D112" t="s">
        <v>18</v>
      </c>
      <c r="E112" t="s">
        <v>153</v>
      </c>
      <c r="F112" t="s">
        <v>155</v>
      </c>
      <c r="H112" s="2">
        <v>5000</v>
      </c>
      <c r="I112" s="2">
        <v>-114149.59</v>
      </c>
      <c r="J112" s="2">
        <f t="shared" si="1"/>
        <v>-5000</v>
      </c>
    </row>
    <row r="113" spans="1:10" x14ac:dyDescent="0.2">
      <c r="A113" s="3">
        <v>112</v>
      </c>
      <c r="B113" t="s">
        <v>484</v>
      </c>
      <c r="C113" s="1">
        <v>244321</v>
      </c>
      <c r="D113" t="s">
        <v>18</v>
      </c>
      <c r="E113" t="s">
        <v>153</v>
      </c>
      <c r="F113" t="s">
        <v>156</v>
      </c>
      <c r="H113" s="2">
        <v>3000</v>
      </c>
      <c r="I113" s="2">
        <v>-117149.59</v>
      </c>
      <c r="J113" s="2">
        <f t="shared" si="1"/>
        <v>-3000</v>
      </c>
    </row>
    <row r="114" spans="1:10" x14ac:dyDescent="0.2">
      <c r="A114" s="3">
        <v>113</v>
      </c>
      <c r="B114" s="16" t="s">
        <v>157</v>
      </c>
      <c r="C114" s="1">
        <v>244321</v>
      </c>
      <c r="D114" t="s">
        <v>18</v>
      </c>
      <c r="E114" t="s">
        <v>153</v>
      </c>
      <c r="F114" t="s">
        <v>157</v>
      </c>
      <c r="H114" s="2">
        <v>2000</v>
      </c>
      <c r="I114" s="2">
        <v>-119149.59</v>
      </c>
      <c r="J114" s="2">
        <f t="shared" si="1"/>
        <v>-2000</v>
      </c>
    </row>
    <row r="115" spans="1:10" x14ac:dyDescent="0.2">
      <c r="A115" s="3">
        <v>114</v>
      </c>
      <c r="B115" t="s">
        <v>159</v>
      </c>
      <c r="C115" s="1">
        <v>244322</v>
      </c>
      <c r="D115" t="s">
        <v>18</v>
      </c>
      <c r="E115" t="s">
        <v>158</v>
      </c>
      <c r="F115" t="s">
        <v>159</v>
      </c>
      <c r="H115" s="2">
        <v>3000</v>
      </c>
      <c r="I115" s="2">
        <v>-122149.59</v>
      </c>
      <c r="J115" s="2">
        <f t="shared" si="1"/>
        <v>-3000</v>
      </c>
    </row>
    <row r="116" spans="1:10" x14ac:dyDescent="0.2">
      <c r="A116" s="3">
        <v>115</v>
      </c>
      <c r="B116" t="s">
        <v>160</v>
      </c>
      <c r="C116" s="1">
        <v>244322</v>
      </c>
      <c r="D116" t="s">
        <v>18</v>
      </c>
      <c r="E116" t="s">
        <v>158</v>
      </c>
      <c r="F116" t="s">
        <v>160</v>
      </c>
      <c r="H116" s="2">
        <v>3000</v>
      </c>
      <c r="I116" s="2">
        <v>-125149.59</v>
      </c>
      <c r="J116" s="2">
        <f t="shared" si="1"/>
        <v>-3000</v>
      </c>
    </row>
    <row r="117" spans="1:10" x14ac:dyDescent="0.2">
      <c r="A117" s="3">
        <v>116</v>
      </c>
      <c r="B117" t="s">
        <v>161</v>
      </c>
      <c r="C117" s="1">
        <v>244322</v>
      </c>
      <c r="D117" t="s">
        <v>18</v>
      </c>
      <c r="E117" t="s">
        <v>158</v>
      </c>
      <c r="F117" t="s">
        <v>161</v>
      </c>
      <c r="H117" s="2">
        <v>1000</v>
      </c>
      <c r="I117" s="2">
        <v>-126149.59</v>
      </c>
      <c r="J117" s="2">
        <f t="shared" si="1"/>
        <v>-1000</v>
      </c>
    </row>
    <row r="118" spans="1:10" x14ac:dyDescent="0.2">
      <c r="A118" s="3">
        <v>117</v>
      </c>
      <c r="B118" t="s">
        <v>162</v>
      </c>
      <c r="C118" s="1">
        <v>244322</v>
      </c>
      <c r="D118" t="s">
        <v>18</v>
      </c>
      <c r="E118" t="s">
        <v>158</v>
      </c>
      <c r="F118" t="s">
        <v>162</v>
      </c>
      <c r="H118" s="2">
        <v>3000</v>
      </c>
      <c r="I118" s="2">
        <v>-129149.59</v>
      </c>
      <c r="J118" s="2">
        <f t="shared" si="1"/>
        <v>-3000</v>
      </c>
    </row>
    <row r="119" spans="1:10" x14ac:dyDescent="0.2">
      <c r="A119" s="3">
        <v>118</v>
      </c>
      <c r="B119" t="s">
        <v>111</v>
      </c>
      <c r="C119" s="1">
        <v>244322</v>
      </c>
      <c r="D119" t="s">
        <v>18</v>
      </c>
      <c r="E119" t="s">
        <v>158</v>
      </c>
      <c r="F119" t="s">
        <v>163</v>
      </c>
      <c r="G119" s="2">
        <v>5000</v>
      </c>
      <c r="I119" s="2">
        <v>-124149.59</v>
      </c>
      <c r="J119" s="2">
        <f t="shared" si="1"/>
        <v>5000</v>
      </c>
    </row>
    <row r="120" spans="1:10" x14ac:dyDescent="0.2">
      <c r="A120" s="3">
        <v>119</v>
      </c>
      <c r="B120" t="s">
        <v>123</v>
      </c>
      <c r="C120" s="1">
        <v>244322</v>
      </c>
      <c r="D120" t="s">
        <v>18</v>
      </c>
      <c r="E120" t="s">
        <v>158</v>
      </c>
      <c r="F120" t="s">
        <v>164</v>
      </c>
      <c r="G120" s="2">
        <v>6000</v>
      </c>
      <c r="I120" s="2">
        <v>-118149.59</v>
      </c>
      <c r="J120" s="2">
        <f t="shared" si="1"/>
        <v>6000</v>
      </c>
    </row>
    <row r="121" spans="1:10" x14ac:dyDescent="0.2">
      <c r="A121" s="3">
        <v>120</v>
      </c>
      <c r="B121" t="s">
        <v>166</v>
      </c>
      <c r="C121" s="1">
        <v>244323</v>
      </c>
      <c r="D121" t="s">
        <v>18</v>
      </c>
      <c r="E121" t="s">
        <v>165</v>
      </c>
      <c r="F121" t="s">
        <v>166</v>
      </c>
      <c r="H121" s="2">
        <v>4000</v>
      </c>
      <c r="I121" s="2">
        <v>-122149.59</v>
      </c>
      <c r="J121" s="2">
        <f t="shared" si="1"/>
        <v>-4000</v>
      </c>
    </row>
    <row r="122" spans="1:10" x14ac:dyDescent="0.2">
      <c r="A122" s="3">
        <v>121</v>
      </c>
      <c r="B122" t="s">
        <v>167</v>
      </c>
      <c r="C122" s="1">
        <v>244323</v>
      </c>
      <c r="D122" t="s">
        <v>18</v>
      </c>
      <c r="E122" t="s">
        <v>165</v>
      </c>
      <c r="F122" t="s">
        <v>167</v>
      </c>
      <c r="H122" s="2">
        <v>134900</v>
      </c>
      <c r="I122" s="2">
        <v>-257049.59</v>
      </c>
      <c r="J122" s="2">
        <f t="shared" si="1"/>
        <v>-134900</v>
      </c>
    </row>
    <row r="123" spans="1:10" x14ac:dyDescent="0.2">
      <c r="A123" s="3">
        <v>122</v>
      </c>
      <c r="B123" t="s">
        <v>143</v>
      </c>
      <c r="C123" s="1">
        <v>244324</v>
      </c>
      <c r="D123" t="s">
        <v>18</v>
      </c>
      <c r="E123" t="s">
        <v>168</v>
      </c>
      <c r="F123" t="s">
        <v>169</v>
      </c>
      <c r="G123" s="2">
        <v>5000</v>
      </c>
      <c r="I123" s="2">
        <v>-252049.59</v>
      </c>
      <c r="J123" s="2">
        <f t="shared" si="1"/>
        <v>5000</v>
      </c>
    </row>
    <row r="124" spans="1:10" x14ac:dyDescent="0.2">
      <c r="A124" s="3">
        <v>123</v>
      </c>
      <c r="B124" t="s">
        <v>167</v>
      </c>
      <c r="C124" s="1">
        <v>244324</v>
      </c>
      <c r="D124" t="s">
        <v>18</v>
      </c>
      <c r="E124" t="s">
        <v>168</v>
      </c>
      <c r="F124" t="s">
        <v>167</v>
      </c>
      <c r="G124" s="2">
        <v>134900</v>
      </c>
      <c r="I124" s="2">
        <v>-117149.59</v>
      </c>
      <c r="J124" s="2">
        <f t="shared" si="1"/>
        <v>134900</v>
      </c>
    </row>
    <row r="125" spans="1:10" x14ac:dyDescent="0.2">
      <c r="A125" s="3">
        <v>124</v>
      </c>
      <c r="B125" t="s">
        <v>170</v>
      </c>
      <c r="C125" s="1">
        <v>244324</v>
      </c>
      <c r="D125" t="s">
        <v>18</v>
      </c>
      <c r="E125" t="s">
        <v>168</v>
      </c>
      <c r="F125" t="s">
        <v>170</v>
      </c>
      <c r="H125" s="2">
        <v>3000</v>
      </c>
      <c r="I125" s="2">
        <v>-120149.59</v>
      </c>
      <c r="J125" s="2">
        <f t="shared" si="1"/>
        <v>-3000</v>
      </c>
    </row>
    <row r="126" spans="1:10" x14ac:dyDescent="0.2">
      <c r="A126" s="3">
        <v>125</v>
      </c>
      <c r="B126" t="s">
        <v>171</v>
      </c>
      <c r="C126" s="1">
        <v>244324</v>
      </c>
      <c r="D126" t="s">
        <v>18</v>
      </c>
      <c r="E126" t="s">
        <v>168</v>
      </c>
      <c r="F126" t="s">
        <v>171</v>
      </c>
      <c r="H126" s="2">
        <v>1000</v>
      </c>
      <c r="I126" s="2">
        <v>-121149.59</v>
      </c>
      <c r="J126" s="2">
        <f t="shared" si="1"/>
        <v>-1000</v>
      </c>
    </row>
    <row r="127" spans="1:10" x14ac:dyDescent="0.2">
      <c r="A127" s="3">
        <v>126</v>
      </c>
      <c r="B127" t="s">
        <v>172</v>
      </c>
      <c r="C127" s="1">
        <v>244324</v>
      </c>
      <c r="D127" t="s">
        <v>18</v>
      </c>
      <c r="E127" t="s">
        <v>168</v>
      </c>
      <c r="F127" t="s">
        <v>172</v>
      </c>
      <c r="H127" s="2">
        <v>3000</v>
      </c>
      <c r="I127" s="2">
        <v>-124149.59</v>
      </c>
      <c r="J127" s="2">
        <f t="shared" si="1"/>
        <v>-3000</v>
      </c>
    </row>
    <row r="128" spans="1:10" x14ac:dyDescent="0.2">
      <c r="A128" s="3">
        <v>127</v>
      </c>
      <c r="B128" t="s">
        <v>174</v>
      </c>
      <c r="C128" s="1">
        <v>244326</v>
      </c>
      <c r="D128" t="s">
        <v>18</v>
      </c>
      <c r="E128" t="s">
        <v>173</v>
      </c>
      <c r="F128" t="s">
        <v>174</v>
      </c>
      <c r="H128" s="2">
        <v>3000</v>
      </c>
      <c r="I128" s="2">
        <v>-127149.59</v>
      </c>
      <c r="J128" s="2">
        <f t="shared" si="1"/>
        <v>-3000</v>
      </c>
    </row>
    <row r="129" spans="1:10" x14ac:dyDescent="0.2">
      <c r="A129" s="3">
        <v>128</v>
      </c>
      <c r="B129" t="s">
        <v>175</v>
      </c>
      <c r="C129" s="1">
        <v>244326</v>
      </c>
      <c r="D129" t="s">
        <v>18</v>
      </c>
      <c r="E129" t="s">
        <v>173</v>
      </c>
      <c r="F129" t="s">
        <v>175</v>
      </c>
      <c r="H129" s="2">
        <v>2000</v>
      </c>
      <c r="I129" s="2">
        <v>-129149.59</v>
      </c>
      <c r="J129" s="2">
        <f t="shared" ref="J129:J192" si="2">G129-H129</f>
        <v>-2000</v>
      </c>
    </row>
    <row r="130" spans="1:10" x14ac:dyDescent="0.2">
      <c r="A130" s="3">
        <v>129</v>
      </c>
      <c r="B130" t="s">
        <v>174</v>
      </c>
      <c r="C130" s="1">
        <v>244326</v>
      </c>
      <c r="D130" t="s">
        <v>18</v>
      </c>
      <c r="E130" t="s">
        <v>173</v>
      </c>
      <c r="F130" t="s">
        <v>174</v>
      </c>
      <c r="G130" s="2">
        <v>3000</v>
      </c>
      <c r="I130" s="2">
        <v>-126149.59</v>
      </c>
      <c r="J130" s="2">
        <f t="shared" si="2"/>
        <v>3000</v>
      </c>
    </row>
    <row r="131" spans="1:10" x14ac:dyDescent="0.2">
      <c r="A131" s="3">
        <v>130</v>
      </c>
      <c r="B131" t="s">
        <v>136</v>
      </c>
      <c r="C131" s="1">
        <v>244327</v>
      </c>
      <c r="D131" t="s">
        <v>18</v>
      </c>
      <c r="E131" t="s">
        <v>176</v>
      </c>
      <c r="F131" t="s">
        <v>136</v>
      </c>
      <c r="G131" s="2">
        <v>3000</v>
      </c>
      <c r="I131" s="2">
        <v>-123149.59</v>
      </c>
      <c r="J131" s="2">
        <f t="shared" si="2"/>
        <v>3000</v>
      </c>
    </row>
    <row r="132" spans="1:10" x14ac:dyDescent="0.2">
      <c r="A132" s="3">
        <v>131</v>
      </c>
      <c r="B132" t="s">
        <v>178</v>
      </c>
      <c r="C132" s="1">
        <v>244327</v>
      </c>
      <c r="D132" t="s">
        <v>18</v>
      </c>
      <c r="E132" t="s">
        <v>177</v>
      </c>
      <c r="F132" t="s">
        <v>178</v>
      </c>
      <c r="H132" s="2">
        <v>3000</v>
      </c>
      <c r="I132" s="2">
        <v>-126149.59</v>
      </c>
      <c r="J132" s="2">
        <f t="shared" si="2"/>
        <v>-3000</v>
      </c>
    </row>
    <row r="133" spans="1:10" x14ac:dyDescent="0.2">
      <c r="A133" s="3">
        <v>132</v>
      </c>
      <c r="B133" t="s">
        <v>179</v>
      </c>
      <c r="C133" s="1">
        <v>244327</v>
      </c>
      <c r="D133" t="s">
        <v>18</v>
      </c>
      <c r="E133" t="s">
        <v>177</v>
      </c>
      <c r="F133" t="s">
        <v>179</v>
      </c>
      <c r="H133" s="2">
        <v>33000</v>
      </c>
      <c r="I133" s="2">
        <v>-159149.59</v>
      </c>
      <c r="J133" s="2">
        <f t="shared" si="2"/>
        <v>-33000</v>
      </c>
    </row>
    <row r="134" spans="1:10" x14ac:dyDescent="0.2">
      <c r="A134" s="3">
        <v>133</v>
      </c>
      <c r="B134" t="s">
        <v>180</v>
      </c>
      <c r="C134" s="1">
        <v>244327</v>
      </c>
      <c r="D134" t="s">
        <v>18</v>
      </c>
      <c r="E134" t="s">
        <v>177</v>
      </c>
      <c r="F134" t="s">
        <v>180</v>
      </c>
      <c r="H134" s="2">
        <v>3000</v>
      </c>
      <c r="I134" s="2">
        <v>-162149.59</v>
      </c>
      <c r="J134" s="2">
        <f t="shared" si="2"/>
        <v>-3000</v>
      </c>
    </row>
    <row r="135" spans="1:10" x14ac:dyDescent="0.2">
      <c r="A135" s="3">
        <v>134</v>
      </c>
      <c r="B135" t="s">
        <v>181</v>
      </c>
      <c r="C135" s="1">
        <v>244327</v>
      </c>
      <c r="D135" t="s">
        <v>18</v>
      </c>
      <c r="E135" t="s">
        <v>177</v>
      </c>
      <c r="F135" t="s">
        <v>181</v>
      </c>
      <c r="H135" s="2">
        <v>30000</v>
      </c>
      <c r="I135" s="2">
        <v>-192149.59</v>
      </c>
      <c r="J135" s="2">
        <f t="shared" si="2"/>
        <v>-30000</v>
      </c>
    </row>
    <row r="136" spans="1:10" x14ac:dyDescent="0.2">
      <c r="A136" s="3">
        <v>135</v>
      </c>
      <c r="B136" t="s">
        <v>182</v>
      </c>
      <c r="C136" s="1">
        <v>244327</v>
      </c>
      <c r="D136" t="s">
        <v>18</v>
      </c>
      <c r="E136" t="s">
        <v>177</v>
      </c>
      <c r="F136" t="s">
        <v>182</v>
      </c>
      <c r="H136" s="2">
        <v>1000</v>
      </c>
      <c r="I136" s="2">
        <v>-193149.59</v>
      </c>
      <c r="J136" s="2">
        <f t="shared" si="2"/>
        <v>-1000</v>
      </c>
    </row>
    <row r="137" spans="1:10" x14ac:dyDescent="0.2">
      <c r="A137" s="3">
        <v>136</v>
      </c>
      <c r="B137" t="s">
        <v>293</v>
      </c>
      <c r="C137" s="1">
        <v>244328</v>
      </c>
      <c r="D137" t="s">
        <v>18</v>
      </c>
      <c r="E137" t="s">
        <v>183</v>
      </c>
      <c r="F137" t="s">
        <v>184</v>
      </c>
      <c r="H137" s="2">
        <v>5000</v>
      </c>
      <c r="I137" s="2">
        <v>-198149.59</v>
      </c>
      <c r="J137" s="2">
        <f t="shared" si="2"/>
        <v>-5000</v>
      </c>
    </row>
    <row r="138" spans="1:10" x14ac:dyDescent="0.2">
      <c r="A138" s="3">
        <v>137</v>
      </c>
      <c r="B138" t="s">
        <v>37</v>
      </c>
      <c r="C138" s="1">
        <v>244328</v>
      </c>
      <c r="D138" t="s">
        <v>18</v>
      </c>
      <c r="E138" t="s">
        <v>183</v>
      </c>
      <c r="F138" t="s">
        <v>185</v>
      </c>
      <c r="G138" s="2">
        <v>3000</v>
      </c>
      <c r="I138" s="2">
        <v>-195149.59</v>
      </c>
      <c r="J138" s="2">
        <f t="shared" si="2"/>
        <v>3000</v>
      </c>
    </row>
    <row r="139" spans="1:10" x14ac:dyDescent="0.2">
      <c r="A139" s="3">
        <v>138</v>
      </c>
      <c r="B139" t="s">
        <v>92</v>
      </c>
      <c r="C139" s="1">
        <v>244328</v>
      </c>
      <c r="D139" t="s">
        <v>18</v>
      </c>
      <c r="E139" t="s">
        <v>183</v>
      </c>
      <c r="F139" t="s">
        <v>186</v>
      </c>
      <c r="G139" s="2">
        <v>1000</v>
      </c>
      <c r="I139" s="2">
        <v>-194149.59</v>
      </c>
      <c r="J139" s="2">
        <f t="shared" si="2"/>
        <v>1000</v>
      </c>
    </row>
    <row r="140" spans="1:10" x14ac:dyDescent="0.2">
      <c r="A140" s="3">
        <v>139</v>
      </c>
      <c r="B140" s="16" t="s">
        <v>188</v>
      </c>
      <c r="C140" s="1">
        <v>244329</v>
      </c>
      <c r="D140" t="s">
        <v>18</v>
      </c>
      <c r="E140" t="s">
        <v>187</v>
      </c>
      <c r="F140" t="s">
        <v>188</v>
      </c>
      <c r="H140" s="2">
        <v>3000</v>
      </c>
      <c r="I140" s="2">
        <v>-197149.59</v>
      </c>
      <c r="J140" s="2">
        <f t="shared" si="2"/>
        <v>-3000</v>
      </c>
    </row>
    <row r="141" spans="1:10" x14ac:dyDescent="0.2">
      <c r="A141" s="3">
        <v>140</v>
      </c>
      <c r="B141" t="s">
        <v>189</v>
      </c>
      <c r="C141" s="1">
        <v>244329</v>
      </c>
      <c r="D141" t="s">
        <v>18</v>
      </c>
      <c r="E141" t="s">
        <v>187</v>
      </c>
      <c r="F141" t="s">
        <v>189</v>
      </c>
      <c r="H141" s="2">
        <v>3000</v>
      </c>
      <c r="I141" s="2">
        <v>-200149.59</v>
      </c>
      <c r="J141" s="2">
        <f t="shared" si="2"/>
        <v>-3000</v>
      </c>
    </row>
    <row r="142" spans="1:10" x14ac:dyDescent="0.2">
      <c r="A142" s="3">
        <v>141</v>
      </c>
      <c r="B142" s="15" t="s">
        <v>190</v>
      </c>
      <c r="C142" s="1">
        <v>244329</v>
      </c>
      <c r="D142" t="s">
        <v>18</v>
      </c>
      <c r="E142" t="s">
        <v>187</v>
      </c>
      <c r="F142" t="s">
        <v>190</v>
      </c>
      <c r="H142" s="6">
        <v>10000</v>
      </c>
      <c r="I142" s="2">
        <v>-210149.59</v>
      </c>
      <c r="J142" s="2">
        <f t="shared" si="2"/>
        <v>-10000</v>
      </c>
    </row>
    <row r="143" spans="1:10" x14ac:dyDescent="0.2">
      <c r="A143" s="3">
        <v>142</v>
      </c>
      <c r="B143" t="s">
        <v>191</v>
      </c>
      <c r="C143" s="1">
        <v>244329</v>
      </c>
      <c r="D143" t="s">
        <v>18</v>
      </c>
      <c r="E143" t="s">
        <v>187</v>
      </c>
      <c r="F143" t="s">
        <v>191</v>
      </c>
      <c r="H143" s="2">
        <v>1000</v>
      </c>
      <c r="I143" s="2">
        <v>-211149.59</v>
      </c>
      <c r="J143" s="2">
        <f t="shared" si="2"/>
        <v>-1000</v>
      </c>
    </row>
    <row r="144" spans="1:10" x14ac:dyDescent="0.2">
      <c r="A144" s="3">
        <v>143</v>
      </c>
      <c r="B144" t="s">
        <v>193</v>
      </c>
      <c r="C144" s="1">
        <v>244330</v>
      </c>
      <c r="D144" t="s">
        <v>18</v>
      </c>
      <c r="E144" t="s">
        <v>192</v>
      </c>
      <c r="F144" t="s">
        <v>193</v>
      </c>
      <c r="H144" s="2">
        <v>1000</v>
      </c>
      <c r="I144" s="2">
        <v>-212149.59</v>
      </c>
      <c r="J144" s="2">
        <f t="shared" si="2"/>
        <v>-1000</v>
      </c>
    </row>
    <row r="145" spans="1:10" x14ac:dyDescent="0.2">
      <c r="A145" s="3">
        <v>144</v>
      </c>
      <c r="B145" t="s">
        <v>194</v>
      </c>
      <c r="C145" s="1">
        <v>244330</v>
      </c>
      <c r="D145" t="s">
        <v>18</v>
      </c>
      <c r="E145" t="s">
        <v>192</v>
      </c>
      <c r="F145" t="s">
        <v>194</v>
      </c>
      <c r="H145" s="2">
        <v>3000</v>
      </c>
      <c r="I145" s="2">
        <v>-215149.59</v>
      </c>
      <c r="J145" s="2">
        <f t="shared" si="2"/>
        <v>-3000</v>
      </c>
    </row>
    <row r="146" spans="1:10" x14ac:dyDescent="0.2">
      <c r="A146" s="3">
        <v>145</v>
      </c>
      <c r="B146" t="s">
        <v>195</v>
      </c>
      <c r="C146" s="1">
        <v>244330</v>
      </c>
      <c r="D146" t="s">
        <v>18</v>
      </c>
      <c r="E146" t="s">
        <v>192</v>
      </c>
      <c r="F146" t="s">
        <v>195</v>
      </c>
      <c r="H146" s="2">
        <v>5000</v>
      </c>
      <c r="I146" s="2">
        <v>-220149.59</v>
      </c>
      <c r="J146" s="2">
        <f t="shared" si="2"/>
        <v>-5000</v>
      </c>
    </row>
    <row r="147" spans="1:10" x14ac:dyDescent="0.2">
      <c r="A147" s="3">
        <v>146</v>
      </c>
      <c r="B147" t="s">
        <v>196</v>
      </c>
      <c r="C147" s="1">
        <v>244330</v>
      </c>
      <c r="D147" t="s">
        <v>18</v>
      </c>
      <c r="E147" t="s">
        <v>192</v>
      </c>
      <c r="F147" t="s">
        <v>196</v>
      </c>
      <c r="H147" s="2">
        <v>3000</v>
      </c>
      <c r="I147" s="2">
        <v>-223149.59</v>
      </c>
      <c r="J147" s="2">
        <f t="shared" si="2"/>
        <v>-3000</v>
      </c>
    </row>
    <row r="148" spans="1:10" x14ac:dyDescent="0.2">
      <c r="A148" s="3">
        <v>147</v>
      </c>
      <c r="B148" t="s">
        <v>197</v>
      </c>
      <c r="C148" s="1">
        <v>244330</v>
      </c>
      <c r="D148" t="s">
        <v>18</v>
      </c>
      <c r="E148" t="s">
        <v>192</v>
      </c>
      <c r="F148" t="s">
        <v>197</v>
      </c>
      <c r="H148" s="2">
        <v>9900</v>
      </c>
      <c r="I148" s="2">
        <v>-233049.59</v>
      </c>
      <c r="J148" s="2">
        <f t="shared" si="2"/>
        <v>-9900</v>
      </c>
    </row>
    <row r="149" spans="1:10" x14ac:dyDescent="0.2">
      <c r="A149" s="3">
        <v>148</v>
      </c>
      <c r="B149" s="16" t="s">
        <v>198</v>
      </c>
      <c r="C149" s="1">
        <v>244330</v>
      </c>
      <c r="D149" t="s">
        <v>18</v>
      </c>
      <c r="E149" t="s">
        <v>192</v>
      </c>
      <c r="F149" t="s">
        <v>198</v>
      </c>
      <c r="H149" s="2">
        <v>3500</v>
      </c>
      <c r="I149" s="2">
        <v>-236549.59</v>
      </c>
      <c r="J149" s="2">
        <f t="shared" si="2"/>
        <v>-3500</v>
      </c>
    </row>
    <row r="150" spans="1:10" x14ac:dyDescent="0.2">
      <c r="A150" s="3">
        <v>149</v>
      </c>
      <c r="B150" t="s">
        <v>199</v>
      </c>
      <c r="C150" s="1">
        <v>244330</v>
      </c>
      <c r="D150" t="s">
        <v>18</v>
      </c>
      <c r="E150" t="s">
        <v>192</v>
      </c>
      <c r="F150" t="s">
        <v>199</v>
      </c>
      <c r="H150" s="2">
        <v>3000</v>
      </c>
      <c r="I150" s="2">
        <v>-239549.59</v>
      </c>
      <c r="J150" s="2">
        <f t="shared" si="2"/>
        <v>-3000</v>
      </c>
    </row>
    <row r="151" spans="1:10" x14ac:dyDescent="0.2">
      <c r="A151" s="3">
        <v>150</v>
      </c>
      <c r="B151" t="s">
        <v>197</v>
      </c>
      <c r="C151" s="1">
        <v>244331</v>
      </c>
      <c r="D151" t="s">
        <v>18</v>
      </c>
      <c r="E151" t="s">
        <v>200</v>
      </c>
      <c r="F151" t="s">
        <v>201</v>
      </c>
      <c r="G151" s="2">
        <v>9900</v>
      </c>
      <c r="I151" s="2">
        <v>-229649.59</v>
      </c>
      <c r="J151" s="2">
        <f t="shared" si="2"/>
        <v>9900</v>
      </c>
    </row>
    <row r="152" spans="1:10" x14ac:dyDescent="0.2">
      <c r="A152" s="3">
        <v>151</v>
      </c>
      <c r="B152" t="s">
        <v>346</v>
      </c>
      <c r="C152" s="1">
        <v>244331</v>
      </c>
      <c r="D152" t="s">
        <v>18</v>
      </c>
      <c r="E152" t="s">
        <v>200</v>
      </c>
      <c r="F152" t="s">
        <v>202</v>
      </c>
      <c r="H152" s="2">
        <v>5000</v>
      </c>
      <c r="I152" s="2">
        <v>-234649.59</v>
      </c>
      <c r="J152" s="2">
        <f t="shared" si="2"/>
        <v>-5000</v>
      </c>
    </row>
    <row r="153" spans="1:10" x14ac:dyDescent="0.2">
      <c r="A153" s="3">
        <v>152</v>
      </c>
      <c r="B153" t="s">
        <v>204</v>
      </c>
      <c r="C153" s="1">
        <v>244333</v>
      </c>
      <c r="D153" t="s">
        <v>18</v>
      </c>
      <c r="E153" t="s">
        <v>203</v>
      </c>
      <c r="F153" t="s">
        <v>204</v>
      </c>
      <c r="H153" s="2">
        <v>2000</v>
      </c>
      <c r="I153" s="2">
        <v>-236649.59</v>
      </c>
      <c r="J153" s="2">
        <f t="shared" si="2"/>
        <v>-2000</v>
      </c>
    </row>
    <row r="154" spans="1:10" x14ac:dyDescent="0.2">
      <c r="A154" s="3">
        <v>153</v>
      </c>
      <c r="B154" t="s">
        <v>205</v>
      </c>
      <c r="C154" s="1">
        <v>244333</v>
      </c>
      <c r="D154" t="s">
        <v>18</v>
      </c>
      <c r="E154" t="s">
        <v>203</v>
      </c>
      <c r="F154" t="s">
        <v>205</v>
      </c>
      <c r="H154" s="2">
        <v>10000</v>
      </c>
      <c r="I154" s="2">
        <v>-246649.59</v>
      </c>
      <c r="J154" s="2">
        <f t="shared" si="2"/>
        <v>-10000</v>
      </c>
    </row>
    <row r="155" spans="1:10" x14ac:dyDescent="0.2">
      <c r="A155" s="3">
        <v>154</v>
      </c>
      <c r="B155" t="s">
        <v>206</v>
      </c>
      <c r="C155" s="1">
        <v>244333</v>
      </c>
      <c r="D155" t="s">
        <v>18</v>
      </c>
      <c r="E155" t="s">
        <v>203</v>
      </c>
      <c r="F155" t="s">
        <v>206</v>
      </c>
      <c r="H155" s="2">
        <v>30000</v>
      </c>
      <c r="I155" s="2">
        <v>-276649.59000000003</v>
      </c>
      <c r="J155" s="2">
        <f t="shared" si="2"/>
        <v>-30000</v>
      </c>
    </row>
    <row r="156" spans="1:10" x14ac:dyDescent="0.2">
      <c r="A156" s="3">
        <v>155</v>
      </c>
      <c r="B156" t="s">
        <v>207</v>
      </c>
      <c r="C156" s="1">
        <v>244333</v>
      </c>
      <c r="D156" t="s">
        <v>18</v>
      </c>
      <c r="E156" t="s">
        <v>203</v>
      </c>
      <c r="F156" t="s">
        <v>207</v>
      </c>
      <c r="H156" s="2">
        <v>3000</v>
      </c>
      <c r="I156" s="2">
        <v>-279649.59000000003</v>
      </c>
      <c r="J156" s="2">
        <f t="shared" si="2"/>
        <v>-3000</v>
      </c>
    </row>
    <row r="157" spans="1:10" x14ac:dyDescent="0.2">
      <c r="A157" s="3">
        <v>156</v>
      </c>
      <c r="B157" t="s">
        <v>208</v>
      </c>
      <c r="C157" s="1">
        <v>244333</v>
      </c>
      <c r="D157" t="s">
        <v>18</v>
      </c>
      <c r="E157" t="s">
        <v>203</v>
      </c>
      <c r="F157" t="s">
        <v>208</v>
      </c>
      <c r="H157" s="2">
        <v>5000</v>
      </c>
      <c r="I157" s="2">
        <v>-284649.59000000003</v>
      </c>
      <c r="J157" s="2">
        <f t="shared" si="2"/>
        <v>-5000</v>
      </c>
    </row>
    <row r="158" spans="1:10" x14ac:dyDescent="0.2">
      <c r="A158" s="3">
        <v>157</v>
      </c>
      <c r="B158" t="s">
        <v>199</v>
      </c>
      <c r="C158" s="1">
        <v>244333</v>
      </c>
      <c r="D158" t="s">
        <v>18</v>
      </c>
      <c r="E158" t="s">
        <v>203</v>
      </c>
      <c r="F158" t="s">
        <v>209</v>
      </c>
      <c r="G158" s="2">
        <v>3000</v>
      </c>
      <c r="I158" s="2">
        <v>-281649.59000000003</v>
      </c>
      <c r="J158" s="2">
        <f t="shared" si="2"/>
        <v>3000</v>
      </c>
    </row>
    <row r="159" spans="1:10" x14ac:dyDescent="0.2">
      <c r="A159" s="3">
        <v>158</v>
      </c>
      <c r="B159" t="s">
        <v>129</v>
      </c>
      <c r="C159" s="1">
        <v>244334</v>
      </c>
      <c r="D159" t="s">
        <v>18</v>
      </c>
      <c r="E159" t="s">
        <v>210</v>
      </c>
      <c r="F159" t="s">
        <v>129</v>
      </c>
      <c r="G159" s="2">
        <v>5000</v>
      </c>
      <c r="I159" s="2">
        <v>-276649.59000000003</v>
      </c>
      <c r="J159" s="2">
        <f t="shared" si="2"/>
        <v>5000</v>
      </c>
    </row>
    <row r="160" spans="1:10" x14ac:dyDescent="0.2">
      <c r="A160" s="3">
        <v>159</v>
      </c>
      <c r="B160" t="s">
        <v>116</v>
      </c>
      <c r="C160" s="1">
        <v>244334</v>
      </c>
      <c r="D160" t="s">
        <v>18</v>
      </c>
      <c r="E160" t="s">
        <v>211</v>
      </c>
      <c r="F160" t="s">
        <v>116</v>
      </c>
      <c r="G160" s="2">
        <v>5000</v>
      </c>
      <c r="I160" s="2">
        <v>-271649.59000000003</v>
      </c>
      <c r="J160" s="2">
        <f t="shared" si="2"/>
        <v>5000</v>
      </c>
    </row>
    <row r="161" spans="1:10" x14ac:dyDescent="0.2">
      <c r="A161" s="3">
        <v>160</v>
      </c>
      <c r="B161" t="s">
        <v>180</v>
      </c>
      <c r="C161" s="1">
        <v>244334</v>
      </c>
      <c r="D161" t="s">
        <v>18</v>
      </c>
      <c r="E161" t="s">
        <v>212</v>
      </c>
      <c r="F161" t="s">
        <v>213</v>
      </c>
      <c r="G161" s="2">
        <v>3000</v>
      </c>
      <c r="I161" s="2">
        <v>-268649.59000000003</v>
      </c>
      <c r="J161" s="2">
        <f t="shared" si="2"/>
        <v>3000</v>
      </c>
    </row>
    <row r="162" spans="1:10" x14ac:dyDescent="0.2">
      <c r="A162" s="3">
        <v>161</v>
      </c>
      <c r="B162" s="15" t="s">
        <v>190</v>
      </c>
      <c r="C162" s="1">
        <v>244334</v>
      </c>
      <c r="D162" t="s">
        <v>18</v>
      </c>
      <c r="E162" t="s">
        <v>214</v>
      </c>
      <c r="F162" t="s">
        <v>215</v>
      </c>
      <c r="H162" s="6">
        <v>3500</v>
      </c>
      <c r="I162" s="2">
        <v>-272149.59000000003</v>
      </c>
      <c r="J162" s="2">
        <f t="shared" si="2"/>
        <v>-3500</v>
      </c>
    </row>
    <row r="163" spans="1:10" x14ac:dyDescent="0.2">
      <c r="A163" s="3">
        <v>162</v>
      </c>
      <c r="B163" t="s">
        <v>216</v>
      </c>
      <c r="C163" s="1">
        <v>244334</v>
      </c>
      <c r="D163" t="s">
        <v>18</v>
      </c>
      <c r="E163" t="s">
        <v>214</v>
      </c>
      <c r="F163" t="s">
        <v>216</v>
      </c>
      <c r="H163" s="2">
        <v>3000</v>
      </c>
      <c r="I163" s="2">
        <v>-275149.59000000003</v>
      </c>
      <c r="J163" s="2">
        <f t="shared" si="2"/>
        <v>-3000</v>
      </c>
    </row>
    <row r="164" spans="1:10" x14ac:dyDescent="0.2">
      <c r="A164" s="3">
        <v>163</v>
      </c>
      <c r="B164" t="s">
        <v>217</v>
      </c>
      <c r="C164" s="1">
        <v>244334</v>
      </c>
      <c r="D164" t="s">
        <v>18</v>
      </c>
      <c r="E164" t="s">
        <v>214</v>
      </c>
      <c r="F164" t="s">
        <v>217</v>
      </c>
      <c r="H164" s="2">
        <v>1000</v>
      </c>
      <c r="I164" s="2">
        <v>-276149.59000000003</v>
      </c>
      <c r="J164" s="2">
        <f t="shared" si="2"/>
        <v>-1000</v>
      </c>
    </row>
    <row r="165" spans="1:10" x14ac:dyDescent="0.2">
      <c r="A165" s="3">
        <v>164</v>
      </c>
      <c r="B165" t="s">
        <v>218</v>
      </c>
      <c r="C165" s="1">
        <v>244334</v>
      </c>
      <c r="D165" t="s">
        <v>18</v>
      </c>
      <c r="E165" t="s">
        <v>214</v>
      </c>
      <c r="F165" t="s">
        <v>218</v>
      </c>
      <c r="H165" s="2">
        <v>3000</v>
      </c>
      <c r="I165" s="2">
        <v>-279149.59000000003</v>
      </c>
      <c r="J165" s="2">
        <f t="shared" si="2"/>
        <v>-3000</v>
      </c>
    </row>
    <row r="166" spans="1:10" x14ac:dyDescent="0.2">
      <c r="A166" s="3">
        <v>165</v>
      </c>
      <c r="B166" t="s">
        <v>219</v>
      </c>
      <c r="C166" s="1">
        <v>244334</v>
      </c>
      <c r="D166" t="s">
        <v>18</v>
      </c>
      <c r="E166" t="s">
        <v>214</v>
      </c>
      <c r="F166" t="s">
        <v>219</v>
      </c>
      <c r="H166" s="2">
        <v>3000</v>
      </c>
      <c r="I166" s="2">
        <v>-282149.59000000003</v>
      </c>
      <c r="J166" s="2">
        <f t="shared" si="2"/>
        <v>-3000</v>
      </c>
    </row>
    <row r="167" spans="1:10" x14ac:dyDescent="0.2">
      <c r="A167" s="3">
        <v>166</v>
      </c>
      <c r="B167" t="s">
        <v>221</v>
      </c>
      <c r="C167" s="1">
        <v>244335</v>
      </c>
      <c r="D167" t="s">
        <v>18</v>
      </c>
      <c r="E167" t="s">
        <v>220</v>
      </c>
      <c r="F167" t="s">
        <v>221</v>
      </c>
      <c r="H167" s="2">
        <v>3000</v>
      </c>
      <c r="I167" s="2">
        <v>-285149.59000000003</v>
      </c>
      <c r="J167" s="2">
        <f t="shared" si="2"/>
        <v>-3000</v>
      </c>
    </row>
    <row r="168" spans="1:10" x14ac:dyDescent="0.2">
      <c r="A168" s="3">
        <v>167</v>
      </c>
      <c r="B168" t="s">
        <v>222</v>
      </c>
      <c r="C168" s="1">
        <v>244335</v>
      </c>
      <c r="D168" t="s">
        <v>18</v>
      </c>
      <c r="E168" t="s">
        <v>220</v>
      </c>
      <c r="F168" t="s">
        <v>222</v>
      </c>
      <c r="H168" s="2">
        <v>3000</v>
      </c>
      <c r="I168" s="2">
        <v>-288149.59000000003</v>
      </c>
      <c r="J168" s="2">
        <f t="shared" si="2"/>
        <v>-3000</v>
      </c>
    </row>
    <row r="169" spans="1:10" x14ac:dyDescent="0.2">
      <c r="A169" s="3">
        <v>168</v>
      </c>
      <c r="B169" s="15" t="s">
        <v>190</v>
      </c>
      <c r="C169" s="1">
        <v>244335</v>
      </c>
      <c r="D169" t="s">
        <v>18</v>
      </c>
      <c r="E169" t="s">
        <v>220</v>
      </c>
      <c r="F169" t="s">
        <v>223</v>
      </c>
      <c r="G169" s="6">
        <v>3500</v>
      </c>
      <c r="I169" s="2">
        <v>-284649.59000000003</v>
      </c>
      <c r="J169" s="2">
        <f t="shared" si="2"/>
        <v>3500</v>
      </c>
    </row>
    <row r="170" spans="1:10" x14ac:dyDescent="0.2">
      <c r="A170" s="3">
        <v>169</v>
      </c>
      <c r="B170" t="s">
        <v>205</v>
      </c>
      <c r="C170" s="1">
        <v>244335</v>
      </c>
      <c r="D170" t="s">
        <v>18</v>
      </c>
      <c r="E170" t="s">
        <v>220</v>
      </c>
      <c r="F170" t="s">
        <v>224</v>
      </c>
      <c r="G170" s="2">
        <v>10000</v>
      </c>
      <c r="I170" s="2">
        <v>-274649.59000000003</v>
      </c>
      <c r="J170" s="2">
        <f t="shared" si="2"/>
        <v>10000</v>
      </c>
    </row>
    <row r="171" spans="1:10" x14ac:dyDescent="0.2">
      <c r="A171" s="3">
        <v>170</v>
      </c>
      <c r="B171" t="s">
        <v>206</v>
      </c>
      <c r="C171" s="1">
        <v>244336</v>
      </c>
      <c r="D171" t="s">
        <v>18</v>
      </c>
      <c r="E171" t="s">
        <v>225</v>
      </c>
      <c r="F171" t="s">
        <v>226</v>
      </c>
      <c r="G171" s="2">
        <v>28037.38</v>
      </c>
      <c r="I171" s="2">
        <v>-246612.21</v>
      </c>
      <c r="J171" s="2">
        <f t="shared" si="2"/>
        <v>28037.38</v>
      </c>
    </row>
    <row r="172" spans="1:10" x14ac:dyDescent="0.2">
      <c r="A172" s="3">
        <v>171</v>
      </c>
      <c r="B172" t="s">
        <v>161</v>
      </c>
      <c r="C172" s="1">
        <v>244336</v>
      </c>
      <c r="D172" t="s">
        <v>18</v>
      </c>
      <c r="E172" t="s">
        <v>227</v>
      </c>
      <c r="F172" t="s">
        <v>228</v>
      </c>
      <c r="G172" s="2">
        <v>1000</v>
      </c>
      <c r="I172" s="2">
        <v>-245612.21</v>
      </c>
      <c r="J172" s="2">
        <f t="shared" si="2"/>
        <v>1000</v>
      </c>
    </row>
    <row r="173" spans="1:10" x14ac:dyDescent="0.2">
      <c r="A173" s="3">
        <v>172</v>
      </c>
      <c r="B173" t="s">
        <v>230</v>
      </c>
      <c r="C173" s="1">
        <v>244336</v>
      </c>
      <c r="D173" t="s">
        <v>18</v>
      </c>
      <c r="E173" t="s">
        <v>229</v>
      </c>
      <c r="F173" t="s">
        <v>230</v>
      </c>
      <c r="H173" s="2">
        <v>3000</v>
      </c>
      <c r="I173" s="2">
        <v>-248612.21</v>
      </c>
      <c r="J173" s="2">
        <f t="shared" si="2"/>
        <v>-3000</v>
      </c>
    </row>
    <row r="174" spans="1:10" x14ac:dyDescent="0.2">
      <c r="A174" s="3">
        <v>173</v>
      </c>
      <c r="B174" t="s">
        <v>175</v>
      </c>
      <c r="C174" s="1">
        <v>244336</v>
      </c>
      <c r="D174" t="s">
        <v>18</v>
      </c>
      <c r="E174" t="s">
        <v>229</v>
      </c>
      <c r="F174" t="s">
        <v>231</v>
      </c>
      <c r="G174" s="2">
        <v>2000</v>
      </c>
      <c r="I174" s="2">
        <v>-246612.21</v>
      </c>
      <c r="J174" s="2">
        <f t="shared" si="2"/>
        <v>2000</v>
      </c>
    </row>
    <row r="175" spans="1:10" x14ac:dyDescent="0.2">
      <c r="A175" s="3">
        <v>174</v>
      </c>
      <c r="B175" t="s">
        <v>191</v>
      </c>
      <c r="C175" s="1">
        <v>244336</v>
      </c>
      <c r="D175" t="s">
        <v>18</v>
      </c>
      <c r="E175" t="s">
        <v>229</v>
      </c>
      <c r="F175" t="s">
        <v>232</v>
      </c>
      <c r="G175" s="2">
        <v>1000</v>
      </c>
      <c r="I175" s="2">
        <v>-245612.21</v>
      </c>
      <c r="J175" s="2">
        <f t="shared" si="2"/>
        <v>1000</v>
      </c>
    </row>
    <row r="176" spans="1:10" x14ac:dyDescent="0.2">
      <c r="A176" s="3">
        <v>175</v>
      </c>
      <c r="B176" t="s">
        <v>145</v>
      </c>
      <c r="C176" s="1">
        <v>244336</v>
      </c>
      <c r="D176" t="s">
        <v>18</v>
      </c>
      <c r="E176" t="s">
        <v>229</v>
      </c>
      <c r="F176" t="s">
        <v>233</v>
      </c>
      <c r="G176" s="2">
        <v>5000</v>
      </c>
      <c r="I176" s="2">
        <v>-240612.21</v>
      </c>
      <c r="J176" s="2">
        <f t="shared" si="2"/>
        <v>5000</v>
      </c>
    </row>
    <row r="177" spans="1:10" x14ac:dyDescent="0.2">
      <c r="A177" s="3">
        <v>176</v>
      </c>
      <c r="B177" t="s">
        <v>247</v>
      </c>
      <c r="C177" s="1">
        <v>244337</v>
      </c>
      <c r="D177" t="s">
        <v>18</v>
      </c>
      <c r="E177" t="s">
        <v>234</v>
      </c>
      <c r="F177" t="s">
        <v>235</v>
      </c>
      <c r="G177" s="2">
        <v>30841.119999999999</v>
      </c>
      <c r="I177" s="2">
        <v>-209771.09</v>
      </c>
      <c r="J177" s="2">
        <f t="shared" si="2"/>
        <v>30841.119999999999</v>
      </c>
    </row>
    <row r="178" spans="1:10" x14ac:dyDescent="0.2">
      <c r="A178" s="3">
        <v>177</v>
      </c>
      <c r="B178" t="s">
        <v>249</v>
      </c>
      <c r="C178" s="1">
        <v>244337</v>
      </c>
      <c r="D178" t="s">
        <v>18</v>
      </c>
      <c r="E178" t="s">
        <v>236</v>
      </c>
      <c r="F178" t="s">
        <v>237</v>
      </c>
      <c r="G178" s="2">
        <v>2803.74</v>
      </c>
      <c r="I178" s="2">
        <v>-206967.35</v>
      </c>
      <c r="J178" s="2">
        <f t="shared" si="2"/>
        <v>2803.74</v>
      </c>
    </row>
    <row r="179" spans="1:10" x14ac:dyDescent="0.2">
      <c r="A179" s="3">
        <v>178</v>
      </c>
      <c r="B179" t="s">
        <v>120</v>
      </c>
      <c r="C179" s="1">
        <v>244337</v>
      </c>
      <c r="D179" t="s">
        <v>18</v>
      </c>
      <c r="E179" t="s">
        <v>238</v>
      </c>
      <c r="F179" t="s">
        <v>120</v>
      </c>
      <c r="G179" s="2">
        <v>3000</v>
      </c>
      <c r="I179" s="2">
        <v>-203967.35</v>
      </c>
      <c r="J179" s="2">
        <f t="shared" si="2"/>
        <v>3000</v>
      </c>
    </row>
    <row r="180" spans="1:10" x14ac:dyDescent="0.2">
      <c r="A180" s="3">
        <v>179</v>
      </c>
      <c r="B180" t="s">
        <v>204</v>
      </c>
      <c r="C180" s="1">
        <v>244337</v>
      </c>
      <c r="D180" t="s">
        <v>18</v>
      </c>
      <c r="E180" t="s">
        <v>239</v>
      </c>
      <c r="F180" t="s">
        <v>240</v>
      </c>
      <c r="G180" s="2">
        <v>2000</v>
      </c>
      <c r="I180" s="2">
        <v>-201967.35</v>
      </c>
      <c r="J180" s="2">
        <f t="shared" si="2"/>
        <v>2000</v>
      </c>
    </row>
    <row r="181" spans="1:10" x14ac:dyDescent="0.2">
      <c r="A181" s="3">
        <v>180</v>
      </c>
      <c r="B181" t="s">
        <v>242</v>
      </c>
      <c r="C181" s="1">
        <v>244337</v>
      </c>
      <c r="D181" t="s">
        <v>18</v>
      </c>
      <c r="E181" t="s">
        <v>241</v>
      </c>
      <c r="F181" t="s">
        <v>242</v>
      </c>
      <c r="G181" s="2">
        <v>10000</v>
      </c>
      <c r="I181" s="2">
        <v>-191967.35</v>
      </c>
      <c r="J181" s="2">
        <f t="shared" si="2"/>
        <v>10000</v>
      </c>
    </row>
    <row r="182" spans="1:10" x14ac:dyDescent="0.2">
      <c r="A182" s="3">
        <v>181</v>
      </c>
      <c r="B182" t="s">
        <v>166</v>
      </c>
      <c r="C182" s="1">
        <v>244337</v>
      </c>
      <c r="D182" t="s">
        <v>18</v>
      </c>
      <c r="E182" t="s">
        <v>243</v>
      </c>
      <c r="F182" t="s">
        <v>244</v>
      </c>
      <c r="G182" s="2">
        <v>4000</v>
      </c>
      <c r="I182" s="2">
        <v>-187967.35</v>
      </c>
      <c r="J182" s="2">
        <f t="shared" si="2"/>
        <v>4000</v>
      </c>
    </row>
    <row r="183" spans="1:10" x14ac:dyDescent="0.2">
      <c r="A183" s="3">
        <v>182</v>
      </c>
      <c r="B183" t="s">
        <v>246</v>
      </c>
      <c r="C183" s="1">
        <v>244337</v>
      </c>
      <c r="D183" t="s">
        <v>18</v>
      </c>
      <c r="E183" t="s">
        <v>245</v>
      </c>
      <c r="F183" t="s">
        <v>246</v>
      </c>
      <c r="H183" s="2">
        <v>10000</v>
      </c>
      <c r="I183" s="2">
        <v>-197967.35</v>
      </c>
      <c r="J183" s="2">
        <f t="shared" si="2"/>
        <v>-10000</v>
      </c>
    </row>
    <row r="184" spans="1:10" x14ac:dyDescent="0.2">
      <c r="A184" s="3">
        <v>183</v>
      </c>
      <c r="B184" t="s">
        <v>247</v>
      </c>
      <c r="C184" s="1">
        <v>244337</v>
      </c>
      <c r="D184" t="s">
        <v>18</v>
      </c>
      <c r="E184" t="s">
        <v>245</v>
      </c>
      <c r="F184" t="s">
        <v>247</v>
      </c>
      <c r="H184" s="2">
        <v>33000</v>
      </c>
      <c r="I184" s="2">
        <v>-230967.35</v>
      </c>
      <c r="J184" s="2">
        <f t="shared" si="2"/>
        <v>-33000</v>
      </c>
    </row>
    <row r="185" spans="1:10" x14ac:dyDescent="0.2">
      <c r="A185" s="3">
        <v>184</v>
      </c>
      <c r="B185" t="s">
        <v>248</v>
      </c>
      <c r="C185" s="1">
        <v>244337</v>
      </c>
      <c r="D185" t="s">
        <v>18</v>
      </c>
      <c r="E185" t="s">
        <v>245</v>
      </c>
      <c r="F185" t="s">
        <v>248</v>
      </c>
      <c r="H185" s="2">
        <v>13000</v>
      </c>
      <c r="I185" s="2">
        <v>-243967.35</v>
      </c>
      <c r="J185" s="2">
        <f t="shared" si="2"/>
        <v>-13000</v>
      </c>
    </row>
    <row r="186" spans="1:10" x14ac:dyDescent="0.2">
      <c r="A186" s="3">
        <v>185</v>
      </c>
      <c r="B186" t="s">
        <v>249</v>
      </c>
      <c r="C186" s="1">
        <v>244337</v>
      </c>
      <c r="D186" t="s">
        <v>18</v>
      </c>
      <c r="E186" t="s">
        <v>245</v>
      </c>
      <c r="F186" t="s">
        <v>249</v>
      </c>
      <c r="H186" s="2">
        <v>3000</v>
      </c>
      <c r="I186" s="2">
        <v>-246967.35</v>
      </c>
      <c r="J186" s="2">
        <f t="shared" si="2"/>
        <v>-3000</v>
      </c>
    </row>
    <row r="187" spans="1:10" x14ac:dyDescent="0.2">
      <c r="A187" s="3">
        <v>186</v>
      </c>
      <c r="B187" t="s">
        <v>250</v>
      </c>
      <c r="C187" s="1">
        <v>244337</v>
      </c>
      <c r="D187" t="s">
        <v>18</v>
      </c>
      <c r="E187" t="s">
        <v>245</v>
      </c>
      <c r="F187" t="s">
        <v>250</v>
      </c>
      <c r="H187" s="2">
        <v>5000</v>
      </c>
      <c r="I187" s="2">
        <v>-251967.35</v>
      </c>
      <c r="J187" s="2">
        <f t="shared" si="2"/>
        <v>-5000</v>
      </c>
    </row>
    <row r="188" spans="1:10" x14ac:dyDescent="0.2">
      <c r="A188" s="3">
        <v>187</v>
      </c>
      <c r="B188" t="s">
        <v>251</v>
      </c>
      <c r="C188" s="1">
        <v>244337</v>
      </c>
      <c r="D188" t="s">
        <v>18</v>
      </c>
      <c r="E188" t="s">
        <v>245</v>
      </c>
      <c r="F188" t="s">
        <v>251</v>
      </c>
      <c r="H188" s="2">
        <v>3000</v>
      </c>
      <c r="I188" s="2">
        <v>-254967.35</v>
      </c>
      <c r="J188" s="2">
        <f t="shared" si="2"/>
        <v>-3000</v>
      </c>
    </row>
    <row r="189" spans="1:10" x14ac:dyDescent="0.2">
      <c r="A189" s="3">
        <v>188</v>
      </c>
      <c r="B189" t="s">
        <v>252</v>
      </c>
      <c r="C189" s="1">
        <v>244337</v>
      </c>
      <c r="D189" t="s">
        <v>18</v>
      </c>
      <c r="E189" t="s">
        <v>245</v>
      </c>
      <c r="F189" t="s">
        <v>252</v>
      </c>
      <c r="H189" s="2">
        <v>1000</v>
      </c>
      <c r="I189" s="2">
        <v>-255967.35</v>
      </c>
      <c r="J189" s="2">
        <f t="shared" si="2"/>
        <v>-1000</v>
      </c>
    </row>
    <row r="190" spans="1:10" x14ac:dyDescent="0.2">
      <c r="A190" s="3">
        <v>189</v>
      </c>
      <c r="B190" t="s">
        <v>253</v>
      </c>
      <c r="C190" s="1">
        <v>244337</v>
      </c>
      <c r="D190" t="s">
        <v>18</v>
      </c>
      <c r="E190" t="s">
        <v>245</v>
      </c>
      <c r="F190" t="s">
        <v>253</v>
      </c>
      <c r="H190" s="2">
        <v>1000</v>
      </c>
      <c r="I190" s="2">
        <v>-256967.35</v>
      </c>
      <c r="J190" s="2">
        <f t="shared" si="2"/>
        <v>-1000</v>
      </c>
    </row>
    <row r="191" spans="1:10" x14ac:dyDescent="0.2">
      <c r="A191" s="3">
        <v>190</v>
      </c>
      <c r="B191" t="s">
        <v>254</v>
      </c>
      <c r="C191" s="1">
        <v>244337</v>
      </c>
      <c r="D191" t="s">
        <v>18</v>
      </c>
      <c r="E191" t="s">
        <v>245</v>
      </c>
      <c r="F191" t="s">
        <v>254</v>
      </c>
      <c r="H191" s="2">
        <v>3000</v>
      </c>
      <c r="I191" s="2">
        <v>-259967.35</v>
      </c>
      <c r="J191" s="2">
        <f t="shared" si="2"/>
        <v>-3000</v>
      </c>
    </row>
    <row r="192" spans="1:10" x14ac:dyDescent="0.2">
      <c r="A192" s="3">
        <v>191</v>
      </c>
      <c r="B192" t="s">
        <v>255</v>
      </c>
      <c r="C192" s="1">
        <v>244337</v>
      </c>
      <c r="D192" t="s">
        <v>18</v>
      </c>
      <c r="E192" t="s">
        <v>245</v>
      </c>
      <c r="F192" t="s">
        <v>255</v>
      </c>
      <c r="H192" s="2">
        <v>1000</v>
      </c>
      <c r="I192" s="2">
        <v>-260967.35</v>
      </c>
      <c r="J192" s="2">
        <f t="shared" si="2"/>
        <v>-1000</v>
      </c>
    </row>
    <row r="193" spans="1:10" x14ac:dyDescent="0.2">
      <c r="A193" s="3">
        <v>192</v>
      </c>
      <c r="B193" t="s">
        <v>81</v>
      </c>
      <c r="C193" s="1">
        <v>244338</v>
      </c>
      <c r="D193" t="s">
        <v>60</v>
      </c>
      <c r="E193" t="s">
        <v>256</v>
      </c>
      <c r="F193" t="s">
        <v>257</v>
      </c>
      <c r="G193" s="2">
        <v>4672.8999999999996</v>
      </c>
      <c r="I193" s="2">
        <v>-256294.45</v>
      </c>
      <c r="J193" s="2">
        <f t="shared" ref="J193:J256" si="3">G193-H193</f>
        <v>4672.8999999999996</v>
      </c>
    </row>
    <row r="194" spans="1:10" x14ac:dyDescent="0.2">
      <c r="A194" s="3">
        <v>193</v>
      </c>
      <c r="B194" t="s">
        <v>84</v>
      </c>
      <c r="C194" s="1">
        <v>244338</v>
      </c>
      <c r="D194" t="s">
        <v>60</v>
      </c>
      <c r="E194" t="s">
        <v>256</v>
      </c>
      <c r="F194" t="s">
        <v>258</v>
      </c>
      <c r="G194" s="2">
        <v>4672.8999999999996</v>
      </c>
      <c r="I194" s="2">
        <v>-251621.55</v>
      </c>
      <c r="J194" s="2">
        <f t="shared" si="3"/>
        <v>4672.8999999999996</v>
      </c>
    </row>
    <row r="195" spans="1:10" x14ac:dyDescent="0.2">
      <c r="A195" s="3">
        <v>194</v>
      </c>
      <c r="B195" t="s">
        <v>80</v>
      </c>
      <c r="C195" s="1">
        <v>244338</v>
      </c>
      <c r="D195" t="s">
        <v>60</v>
      </c>
      <c r="E195" t="s">
        <v>256</v>
      </c>
      <c r="F195" t="s">
        <v>259</v>
      </c>
      <c r="G195" s="2">
        <v>4672.8999999999996</v>
      </c>
      <c r="I195" s="2">
        <v>-246948.65</v>
      </c>
      <c r="J195" s="2">
        <f t="shared" si="3"/>
        <v>4672.8999999999996</v>
      </c>
    </row>
    <row r="196" spans="1:10" x14ac:dyDescent="0.2">
      <c r="A196" s="3">
        <v>195</v>
      </c>
      <c r="B196" t="s">
        <v>78</v>
      </c>
      <c r="C196" s="1">
        <v>244338</v>
      </c>
      <c r="D196" t="s">
        <v>60</v>
      </c>
      <c r="E196" t="s">
        <v>256</v>
      </c>
      <c r="F196" t="s">
        <v>260</v>
      </c>
      <c r="G196" s="2">
        <v>1869.16</v>
      </c>
      <c r="I196" s="2">
        <v>-245079.49</v>
      </c>
      <c r="J196" s="2">
        <f t="shared" si="3"/>
        <v>1869.16</v>
      </c>
    </row>
    <row r="197" spans="1:10" x14ac:dyDescent="0.2">
      <c r="A197" s="3">
        <v>196</v>
      </c>
      <c r="B197" t="s">
        <v>86</v>
      </c>
      <c r="C197" s="1">
        <v>244338</v>
      </c>
      <c r="D197" t="s">
        <v>60</v>
      </c>
      <c r="E197" t="s">
        <v>256</v>
      </c>
      <c r="F197" t="s">
        <v>261</v>
      </c>
      <c r="G197" s="2">
        <v>4672.8999999999996</v>
      </c>
      <c r="I197" s="2">
        <v>-240406.59</v>
      </c>
      <c r="J197" s="2">
        <f t="shared" si="3"/>
        <v>4672.8999999999996</v>
      </c>
    </row>
    <row r="198" spans="1:10" x14ac:dyDescent="0.2">
      <c r="A198" s="3">
        <v>197</v>
      </c>
      <c r="B198" t="s">
        <v>50</v>
      </c>
      <c r="C198" s="1">
        <v>244338</v>
      </c>
      <c r="D198" t="s">
        <v>60</v>
      </c>
      <c r="E198" t="s">
        <v>256</v>
      </c>
      <c r="F198" t="s">
        <v>262</v>
      </c>
      <c r="G198" s="2">
        <v>2803.74</v>
      </c>
      <c r="I198" s="2">
        <v>-237602.85</v>
      </c>
      <c r="J198" s="2">
        <f t="shared" si="3"/>
        <v>2803.74</v>
      </c>
    </row>
    <row r="199" spans="1:10" x14ac:dyDescent="0.2">
      <c r="A199" s="3">
        <v>198</v>
      </c>
      <c r="B199" t="s">
        <v>125</v>
      </c>
      <c r="C199" s="1">
        <v>244338</v>
      </c>
      <c r="D199" t="s">
        <v>60</v>
      </c>
      <c r="E199" t="s">
        <v>256</v>
      </c>
      <c r="F199" t="s">
        <v>263</v>
      </c>
      <c r="G199" s="2">
        <v>2803.74</v>
      </c>
      <c r="I199" s="2">
        <v>-234799.11</v>
      </c>
      <c r="J199" s="2">
        <f t="shared" si="3"/>
        <v>2803.74</v>
      </c>
    </row>
    <row r="200" spans="1:10" x14ac:dyDescent="0.2">
      <c r="A200" s="3">
        <v>199</v>
      </c>
      <c r="B200" t="s">
        <v>113</v>
      </c>
      <c r="C200" s="1">
        <v>244338</v>
      </c>
      <c r="D200" t="s">
        <v>60</v>
      </c>
      <c r="E200" t="s">
        <v>256</v>
      </c>
      <c r="F200" t="s">
        <v>264</v>
      </c>
      <c r="G200" s="2">
        <v>2803.74</v>
      </c>
      <c r="I200" s="2">
        <v>-231995.37</v>
      </c>
      <c r="J200" s="2">
        <f t="shared" si="3"/>
        <v>2803.74</v>
      </c>
    </row>
    <row r="201" spans="1:10" x14ac:dyDescent="0.2">
      <c r="A201" s="3">
        <v>200</v>
      </c>
      <c r="B201" t="s">
        <v>101</v>
      </c>
      <c r="C201" s="1">
        <v>244338</v>
      </c>
      <c r="D201" t="s">
        <v>60</v>
      </c>
      <c r="E201" t="s">
        <v>256</v>
      </c>
      <c r="F201" t="s">
        <v>265</v>
      </c>
      <c r="G201" s="2">
        <v>2803.74</v>
      </c>
      <c r="I201" s="2">
        <v>-229191.63</v>
      </c>
      <c r="J201" s="2">
        <f t="shared" si="3"/>
        <v>2803.74</v>
      </c>
    </row>
    <row r="202" spans="1:10" x14ac:dyDescent="0.2">
      <c r="A202" s="3">
        <v>201</v>
      </c>
      <c r="B202" t="s">
        <v>110</v>
      </c>
      <c r="C202" s="1">
        <v>244338</v>
      </c>
      <c r="D202" t="s">
        <v>60</v>
      </c>
      <c r="E202" t="s">
        <v>256</v>
      </c>
      <c r="F202" t="s">
        <v>266</v>
      </c>
      <c r="G202" s="2">
        <v>2803.74</v>
      </c>
      <c r="I202" s="2">
        <v>-226387.89</v>
      </c>
      <c r="J202" s="2">
        <f t="shared" si="3"/>
        <v>2803.74</v>
      </c>
    </row>
    <row r="203" spans="1:10" x14ac:dyDescent="0.2">
      <c r="A203" s="3">
        <v>202</v>
      </c>
      <c r="B203" t="s">
        <v>103</v>
      </c>
      <c r="C203" s="1">
        <v>244338</v>
      </c>
      <c r="D203" t="s">
        <v>60</v>
      </c>
      <c r="E203" t="s">
        <v>256</v>
      </c>
      <c r="F203" t="s">
        <v>267</v>
      </c>
      <c r="G203" s="2">
        <v>4672.8999999999996</v>
      </c>
      <c r="I203" s="2">
        <v>-221714.99</v>
      </c>
      <c r="J203" s="2">
        <f t="shared" si="3"/>
        <v>4672.8999999999996</v>
      </c>
    </row>
    <row r="204" spans="1:10" x14ac:dyDescent="0.2">
      <c r="A204" s="3">
        <v>203</v>
      </c>
      <c r="B204" t="s">
        <v>83</v>
      </c>
      <c r="C204" s="1">
        <v>244338</v>
      </c>
      <c r="D204" t="s">
        <v>60</v>
      </c>
      <c r="E204" t="s">
        <v>256</v>
      </c>
      <c r="F204" t="s">
        <v>268</v>
      </c>
      <c r="G204" s="2">
        <v>4672.8999999999996</v>
      </c>
      <c r="I204" s="2">
        <v>-217042.09</v>
      </c>
      <c r="J204" s="2">
        <f t="shared" si="3"/>
        <v>4672.8999999999996</v>
      </c>
    </row>
    <row r="205" spans="1:10" x14ac:dyDescent="0.2">
      <c r="A205" s="3">
        <v>204</v>
      </c>
      <c r="B205" t="s">
        <v>270</v>
      </c>
      <c r="C205" s="1">
        <v>244338</v>
      </c>
      <c r="D205" t="s">
        <v>18</v>
      </c>
      <c r="E205" t="s">
        <v>269</v>
      </c>
      <c r="F205" t="s">
        <v>270</v>
      </c>
      <c r="H205" s="2">
        <v>20000</v>
      </c>
      <c r="I205" s="2">
        <v>-237042.09</v>
      </c>
      <c r="J205" s="2">
        <f t="shared" si="3"/>
        <v>-20000</v>
      </c>
    </row>
    <row r="206" spans="1:10" x14ac:dyDescent="0.2">
      <c r="A206" s="3">
        <v>205</v>
      </c>
      <c r="B206" t="s">
        <v>271</v>
      </c>
      <c r="C206" s="1">
        <v>244338</v>
      </c>
      <c r="D206" t="s">
        <v>18</v>
      </c>
      <c r="E206" t="s">
        <v>269</v>
      </c>
      <c r="F206" t="s">
        <v>271</v>
      </c>
      <c r="H206" s="2">
        <v>10000</v>
      </c>
      <c r="I206" s="2">
        <v>-247042.09</v>
      </c>
      <c r="J206" s="2">
        <f t="shared" si="3"/>
        <v>-10000</v>
      </c>
    </row>
    <row r="207" spans="1:10" x14ac:dyDescent="0.2">
      <c r="A207" s="3">
        <v>206</v>
      </c>
      <c r="B207" s="16" t="s">
        <v>272</v>
      </c>
      <c r="C207" s="1">
        <v>244338</v>
      </c>
      <c r="D207" t="s">
        <v>18</v>
      </c>
      <c r="E207" t="s">
        <v>269</v>
      </c>
      <c r="F207" t="s">
        <v>272</v>
      </c>
      <c r="H207" s="2">
        <v>1000</v>
      </c>
      <c r="I207" s="2">
        <v>-248042.09</v>
      </c>
      <c r="J207" s="2">
        <f t="shared" si="3"/>
        <v>-1000</v>
      </c>
    </row>
    <row r="208" spans="1:10" x14ac:dyDescent="0.2">
      <c r="A208" s="3">
        <v>207</v>
      </c>
      <c r="B208" t="s">
        <v>273</v>
      </c>
      <c r="C208" s="1">
        <v>244338</v>
      </c>
      <c r="D208" t="s">
        <v>18</v>
      </c>
      <c r="E208" t="s">
        <v>269</v>
      </c>
      <c r="F208" t="s">
        <v>273</v>
      </c>
      <c r="H208" s="2">
        <v>3000</v>
      </c>
      <c r="I208" s="2">
        <v>-251042.09</v>
      </c>
      <c r="J208" s="2">
        <f t="shared" si="3"/>
        <v>-3000</v>
      </c>
    </row>
    <row r="209" spans="1:10" x14ac:dyDescent="0.2">
      <c r="A209" s="3">
        <v>208</v>
      </c>
      <c r="B209" t="s">
        <v>274</v>
      </c>
      <c r="C209" s="1">
        <v>244338</v>
      </c>
      <c r="D209" t="s">
        <v>18</v>
      </c>
      <c r="E209" t="s">
        <v>269</v>
      </c>
      <c r="F209" t="s">
        <v>274</v>
      </c>
      <c r="H209" s="2">
        <v>10000</v>
      </c>
      <c r="I209" s="2">
        <v>-261042.09</v>
      </c>
      <c r="J209" s="2">
        <f t="shared" si="3"/>
        <v>-10000</v>
      </c>
    </row>
    <row r="210" spans="1:10" x14ac:dyDescent="0.2">
      <c r="A210" s="3">
        <v>209</v>
      </c>
      <c r="B210" t="s">
        <v>275</v>
      </c>
      <c r="C210" s="1">
        <v>244338</v>
      </c>
      <c r="D210" t="s">
        <v>18</v>
      </c>
      <c r="E210" t="s">
        <v>269</v>
      </c>
      <c r="F210" t="s">
        <v>275</v>
      </c>
      <c r="H210" s="2">
        <v>1000</v>
      </c>
      <c r="I210" s="2">
        <v>-262042.09</v>
      </c>
      <c r="J210" s="2">
        <f t="shared" si="3"/>
        <v>-1000</v>
      </c>
    </row>
    <row r="211" spans="1:10" x14ac:dyDescent="0.2">
      <c r="A211" s="3">
        <v>210</v>
      </c>
      <c r="B211" t="s">
        <v>276</v>
      </c>
      <c r="C211" s="1">
        <v>244338</v>
      </c>
      <c r="D211" t="s">
        <v>18</v>
      </c>
      <c r="E211" t="s">
        <v>269</v>
      </c>
      <c r="F211" t="s">
        <v>276</v>
      </c>
      <c r="H211" s="2">
        <v>3000</v>
      </c>
      <c r="I211" s="2">
        <v>-265042.09000000003</v>
      </c>
      <c r="J211" s="2">
        <f t="shared" si="3"/>
        <v>-3000</v>
      </c>
    </row>
    <row r="212" spans="1:10" x14ac:dyDescent="0.2">
      <c r="A212" s="3">
        <v>211</v>
      </c>
      <c r="B212" t="s">
        <v>277</v>
      </c>
      <c r="C212" s="1">
        <v>244338</v>
      </c>
      <c r="D212" t="s">
        <v>18</v>
      </c>
      <c r="E212" t="s">
        <v>269</v>
      </c>
      <c r="F212" t="s">
        <v>277</v>
      </c>
      <c r="H212" s="2">
        <v>1000</v>
      </c>
      <c r="I212" s="2">
        <v>-266042.09000000003</v>
      </c>
      <c r="J212" s="2">
        <f t="shared" si="3"/>
        <v>-1000</v>
      </c>
    </row>
    <row r="213" spans="1:10" x14ac:dyDescent="0.2">
      <c r="A213" s="3">
        <v>212</v>
      </c>
      <c r="B213" t="s">
        <v>279</v>
      </c>
      <c r="C213" s="1">
        <v>244340</v>
      </c>
      <c r="D213" t="s">
        <v>18</v>
      </c>
      <c r="E213" t="s">
        <v>278</v>
      </c>
      <c r="F213" t="s">
        <v>279</v>
      </c>
      <c r="G213" s="2">
        <v>4672.8999999999996</v>
      </c>
      <c r="I213" s="2">
        <v>-261369.19</v>
      </c>
      <c r="J213" s="2">
        <f t="shared" si="3"/>
        <v>4672.8999999999996</v>
      </c>
    </row>
    <row r="214" spans="1:10" x14ac:dyDescent="0.2">
      <c r="A214" s="3">
        <v>213</v>
      </c>
      <c r="B214" t="s">
        <v>216</v>
      </c>
      <c r="C214" s="1">
        <v>244340</v>
      </c>
      <c r="D214" t="s">
        <v>18</v>
      </c>
      <c r="E214" t="s">
        <v>280</v>
      </c>
      <c r="F214" t="s">
        <v>281</v>
      </c>
      <c r="G214" s="2">
        <v>3000</v>
      </c>
      <c r="I214" s="2">
        <v>-258369.19</v>
      </c>
      <c r="J214" s="2">
        <f t="shared" si="3"/>
        <v>3000</v>
      </c>
    </row>
    <row r="215" spans="1:10" x14ac:dyDescent="0.2">
      <c r="A215" s="3">
        <v>214</v>
      </c>
      <c r="B215" t="s">
        <v>230</v>
      </c>
      <c r="C215" s="1">
        <v>244340</v>
      </c>
      <c r="D215" t="s">
        <v>18</v>
      </c>
      <c r="E215" t="s">
        <v>282</v>
      </c>
      <c r="F215" t="s">
        <v>283</v>
      </c>
      <c r="G215" s="2">
        <v>3000</v>
      </c>
      <c r="I215" s="2">
        <v>-255369.19</v>
      </c>
      <c r="J215" s="2">
        <f t="shared" si="3"/>
        <v>3000</v>
      </c>
    </row>
    <row r="216" spans="1:10" x14ac:dyDescent="0.2">
      <c r="A216" s="3">
        <v>215</v>
      </c>
      <c r="B216" t="s">
        <v>219</v>
      </c>
      <c r="C216" s="1">
        <v>244340</v>
      </c>
      <c r="D216" t="s">
        <v>18</v>
      </c>
      <c r="E216" t="s">
        <v>284</v>
      </c>
      <c r="F216" t="s">
        <v>285</v>
      </c>
      <c r="G216" s="2">
        <v>3000</v>
      </c>
      <c r="I216" s="2">
        <v>-252369.19</v>
      </c>
      <c r="J216" s="2">
        <f t="shared" si="3"/>
        <v>3000</v>
      </c>
    </row>
    <row r="217" spans="1:10" x14ac:dyDescent="0.2">
      <c r="A217" s="3">
        <v>216</v>
      </c>
      <c r="B217" t="s">
        <v>178</v>
      </c>
      <c r="C217" s="1">
        <v>244340</v>
      </c>
      <c r="D217" t="s">
        <v>18</v>
      </c>
      <c r="E217" t="s">
        <v>286</v>
      </c>
      <c r="F217" t="s">
        <v>287</v>
      </c>
      <c r="G217" s="2">
        <v>3000</v>
      </c>
      <c r="I217" s="2">
        <v>-249369.19</v>
      </c>
      <c r="J217" s="2">
        <f t="shared" si="3"/>
        <v>3000</v>
      </c>
    </row>
    <row r="218" spans="1:10" x14ac:dyDescent="0.2">
      <c r="A218" s="3">
        <v>217</v>
      </c>
      <c r="B218" t="s">
        <v>131</v>
      </c>
      <c r="C218" s="1">
        <v>244340</v>
      </c>
      <c r="D218" t="s">
        <v>18</v>
      </c>
      <c r="E218" t="s">
        <v>288</v>
      </c>
      <c r="F218" t="s">
        <v>289</v>
      </c>
      <c r="H218" s="2">
        <v>3000</v>
      </c>
      <c r="I218" s="2">
        <v>-252369.19</v>
      </c>
      <c r="J218" s="2">
        <f t="shared" si="3"/>
        <v>-3000</v>
      </c>
    </row>
    <row r="219" spans="1:10" x14ac:dyDescent="0.2">
      <c r="A219" s="3">
        <v>218</v>
      </c>
      <c r="B219" t="s">
        <v>279</v>
      </c>
      <c r="C219" s="1">
        <v>244340</v>
      </c>
      <c r="D219" t="s">
        <v>18</v>
      </c>
      <c r="E219" t="s">
        <v>288</v>
      </c>
      <c r="F219" t="s">
        <v>290</v>
      </c>
      <c r="H219" s="2">
        <v>5000</v>
      </c>
      <c r="I219" s="2">
        <v>-257369.19</v>
      </c>
      <c r="J219" s="2">
        <f t="shared" si="3"/>
        <v>-5000</v>
      </c>
    </row>
    <row r="220" spans="1:10" x14ac:dyDescent="0.2">
      <c r="A220" s="3">
        <v>219</v>
      </c>
      <c r="B220" t="s">
        <v>270</v>
      </c>
      <c r="C220" s="1">
        <v>244340</v>
      </c>
      <c r="D220" t="s">
        <v>18</v>
      </c>
      <c r="E220" t="s">
        <v>288</v>
      </c>
      <c r="F220" t="s">
        <v>291</v>
      </c>
      <c r="G220" s="2">
        <v>20000</v>
      </c>
      <c r="I220" s="2">
        <v>-237369.19</v>
      </c>
      <c r="J220" s="2">
        <f t="shared" si="3"/>
        <v>20000</v>
      </c>
    </row>
    <row r="221" spans="1:10" x14ac:dyDescent="0.2">
      <c r="A221" s="3">
        <v>220</v>
      </c>
      <c r="B221" t="s">
        <v>293</v>
      </c>
      <c r="C221" s="1">
        <v>244341</v>
      </c>
      <c r="D221" t="s">
        <v>18</v>
      </c>
      <c r="E221" t="s">
        <v>292</v>
      </c>
      <c r="F221" t="s">
        <v>293</v>
      </c>
      <c r="G221" s="2">
        <v>5000</v>
      </c>
      <c r="I221" s="2">
        <v>-232369.19</v>
      </c>
      <c r="J221" s="2">
        <f t="shared" si="3"/>
        <v>5000</v>
      </c>
    </row>
    <row r="222" spans="1:10" x14ac:dyDescent="0.2">
      <c r="A222" s="3">
        <v>221</v>
      </c>
      <c r="B222" t="s">
        <v>295</v>
      </c>
      <c r="C222" s="1">
        <v>244341</v>
      </c>
      <c r="D222" t="s">
        <v>18</v>
      </c>
      <c r="E222" t="s">
        <v>294</v>
      </c>
      <c r="F222" t="s">
        <v>295</v>
      </c>
      <c r="H222" s="2">
        <v>3000</v>
      </c>
      <c r="I222" s="2">
        <v>-235369.19</v>
      </c>
      <c r="J222" s="2">
        <f t="shared" si="3"/>
        <v>-3000</v>
      </c>
    </row>
    <row r="223" spans="1:10" x14ac:dyDescent="0.2">
      <c r="A223" s="3">
        <v>222</v>
      </c>
      <c r="B223" t="s">
        <v>125</v>
      </c>
      <c r="C223" s="1">
        <v>244341</v>
      </c>
      <c r="D223" t="s">
        <v>18</v>
      </c>
      <c r="E223" t="s">
        <v>294</v>
      </c>
      <c r="F223" t="s">
        <v>296</v>
      </c>
      <c r="H223" s="2">
        <v>3000</v>
      </c>
      <c r="I223" s="2">
        <v>-238369.19</v>
      </c>
      <c r="J223" s="2">
        <f t="shared" si="3"/>
        <v>-3000</v>
      </c>
    </row>
    <row r="224" spans="1:10" x14ac:dyDescent="0.2">
      <c r="A224" s="3">
        <v>223</v>
      </c>
      <c r="B224" t="s">
        <v>297</v>
      </c>
      <c r="C224" s="1">
        <v>244341</v>
      </c>
      <c r="D224" t="s">
        <v>18</v>
      </c>
      <c r="E224" t="s">
        <v>294</v>
      </c>
      <c r="F224" t="s">
        <v>297</v>
      </c>
      <c r="G224" s="2">
        <v>5000</v>
      </c>
      <c r="I224" s="2">
        <v>-233369.19</v>
      </c>
      <c r="J224" s="2">
        <f t="shared" si="3"/>
        <v>5000</v>
      </c>
    </row>
    <row r="225" spans="1:10" x14ac:dyDescent="0.2">
      <c r="A225" s="3">
        <v>224</v>
      </c>
      <c r="B225" t="s">
        <v>179</v>
      </c>
      <c r="C225" s="1">
        <v>244342</v>
      </c>
      <c r="D225" t="s">
        <v>18</v>
      </c>
      <c r="E225" t="s">
        <v>298</v>
      </c>
      <c r="F225" t="s">
        <v>299</v>
      </c>
      <c r="G225" s="2">
        <v>33000</v>
      </c>
      <c r="I225" s="2">
        <v>-200369.19</v>
      </c>
      <c r="J225" s="2">
        <f t="shared" si="3"/>
        <v>33000</v>
      </c>
    </row>
    <row r="226" spans="1:10" x14ac:dyDescent="0.2">
      <c r="A226" s="3">
        <v>225</v>
      </c>
      <c r="B226" t="s">
        <v>217</v>
      </c>
      <c r="C226" s="1">
        <v>244342</v>
      </c>
      <c r="D226" t="s">
        <v>18</v>
      </c>
      <c r="E226" t="s">
        <v>300</v>
      </c>
      <c r="F226" t="s">
        <v>301</v>
      </c>
      <c r="G226" s="2">
        <v>1000</v>
      </c>
      <c r="I226" s="2">
        <v>-199369.19</v>
      </c>
      <c r="J226" s="2">
        <f t="shared" si="3"/>
        <v>1000</v>
      </c>
    </row>
    <row r="227" spans="1:10" x14ac:dyDescent="0.2">
      <c r="A227" s="3">
        <v>226</v>
      </c>
      <c r="B227" t="s">
        <v>160</v>
      </c>
      <c r="C227" s="1">
        <v>244342</v>
      </c>
      <c r="D227" t="s">
        <v>18</v>
      </c>
      <c r="E227" t="s">
        <v>302</v>
      </c>
      <c r="F227" t="s">
        <v>303</v>
      </c>
      <c r="G227" s="2">
        <v>3000</v>
      </c>
      <c r="I227" s="2">
        <v>-196369.19</v>
      </c>
      <c r="J227" s="2">
        <f t="shared" si="3"/>
        <v>3000</v>
      </c>
    </row>
    <row r="228" spans="1:10" x14ac:dyDescent="0.2">
      <c r="A228" s="3">
        <v>227</v>
      </c>
      <c r="B228" t="s">
        <v>305</v>
      </c>
      <c r="C228" s="1">
        <v>244342</v>
      </c>
      <c r="D228" t="s">
        <v>18</v>
      </c>
      <c r="E228" t="s">
        <v>304</v>
      </c>
      <c r="F228" t="s">
        <v>305</v>
      </c>
      <c r="H228" s="2">
        <v>5000</v>
      </c>
      <c r="I228" s="2">
        <v>-201369.19</v>
      </c>
      <c r="J228" s="2">
        <f t="shared" si="3"/>
        <v>-5000</v>
      </c>
    </row>
    <row r="229" spans="1:10" x14ac:dyDescent="0.2">
      <c r="A229" s="3">
        <v>228</v>
      </c>
      <c r="B229" t="s">
        <v>306</v>
      </c>
      <c r="C229" s="1">
        <v>244342</v>
      </c>
      <c r="D229" t="s">
        <v>18</v>
      </c>
      <c r="E229" t="s">
        <v>304</v>
      </c>
      <c r="F229" t="s">
        <v>306</v>
      </c>
      <c r="H229" s="2">
        <v>3000</v>
      </c>
      <c r="I229" s="2">
        <v>-204369.19</v>
      </c>
      <c r="J229" s="2">
        <f t="shared" si="3"/>
        <v>-3000</v>
      </c>
    </row>
    <row r="230" spans="1:10" x14ac:dyDescent="0.2">
      <c r="A230" s="3">
        <v>229</v>
      </c>
      <c r="B230" t="s">
        <v>307</v>
      </c>
      <c r="C230" s="1">
        <v>244342</v>
      </c>
      <c r="D230" t="s">
        <v>18</v>
      </c>
      <c r="E230" t="s">
        <v>304</v>
      </c>
      <c r="F230" t="s">
        <v>307</v>
      </c>
      <c r="H230" s="2">
        <v>1000</v>
      </c>
      <c r="I230" s="2">
        <v>-205369.19</v>
      </c>
      <c r="J230" s="2">
        <f t="shared" si="3"/>
        <v>-1000</v>
      </c>
    </row>
    <row r="231" spans="1:10" x14ac:dyDescent="0.2">
      <c r="A231" s="3">
        <v>230</v>
      </c>
      <c r="B231" t="s">
        <v>308</v>
      </c>
      <c r="C231" s="1">
        <v>244342</v>
      </c>
      <c r="D231" t="s">
        <v>18</v>
      </c>
      <c r="E231" t="s">
        <v>304</v>
      </c>
      <c r="F231" t="s">
        <v>308</v>
      </c>
      <c r="H231" s="2">
        <v>3000</v>
      </c>
      <c r="I231" s="2">
        <v>-208369.19</v>
      </c>
      <c r="J231" s="2">
        <f t="shared" si="3"/>
        <v>-3000</v>
      </c>
    </row>
    <row r="232" spans="1:10" x14ac:dyDescent="0.2">
      <c r="A232" s="3">
        <v>231</v>
      </c>
      <c r="B232" t="s">
        <v>309</v>
      </c>
      <c r="C232" s="1">
        <v>244342</v>
      </c>
      <c r="D232" t="s">
        <v>18</v>
      </c>
      <c r="E232" t="s">
        <v>304</v>
      </c>
      <c r="F232" t="s">
        <v>309</v>
      </c>
      <c r="H232" s="2">
        <v>1000</v>
      </c>
      <c r="I232" s="2">
        <v>-209369.19</v>
      </c>
      <c r="J232" s="2">
        <f t="shared" si="3"/>
        <v>-1000</v>
      </c>
    </row>
    <row r="233" spans="1:10" x14ac:dyDescent="0.2">
      <c r="A233" s="3">
        <v>232</v>
      </c>
      <c r="B233" t="s">
        <v>310</v>
      </c>
      <c r="C233" s="1">
        <v>244342</v>
      </c>
      <c r="D233" t="s">
        <v>18</v>
      </c>
      <c r="E233" t="s">
        <v>304</v>
      </c>
      <c r="F233" t="s">
        <v>310</v>
      </c>
      <c r="H233" s="2">
        <v>1000</v>
      </c>
      <c r="I233" s="2">
        <v>-210369.19</v>
      </c>
      <c r="J233" s="2">
        <f t="shared" si="3"/>
        <v>-1000</v>
      </c>
    </row>
    <row r="234" spans="1:10" x14ac:dyDescent="0.2">
      <c r="A234" s="3">
        <v>233</v>
      </c>
      <c r="B234" t="s">
        <v>311</v>
      </c>
      <c r="C234" s="1">
        <v>244342</v>
      </c>
      <c r="D234" t="s">
        <v>18</v>
      </c>
      <c r="E234" t="s">
        <v>304</v>
      </c>
      <c r="F234" t="s">
        <v>311</v>
      </c>
      <c r="H234" s="2">
        <v>2000</v>
      </c>
      <c r="I234" s="2">
        <v>-212369.19</v>
      </c>
      <c r="J234" s="2">
        <f t="shared" si="3"/>
        <v>-2000</v>
      </c>
    </row>
    <row r="235" spans="1:10" x14ac:dyDescent="0.2">
      <c r="A235" s="3">
        <v>234</v>
      </c>
      <c r="B235" s="16" t="s">
        <v>312</v>
      </c>
      <c r="C235" s="1">
        <v>244342</v>
      </c>
      <c r="D235" t="s">
        <v>18</v>
      </c>
      <c r="E235" t="s">
        <v>304</v>
      </c>
      <c r="F235" t="s">
        <v>312</v>
      </c>
      <c r="H235" s="2">
        <v>3000</v>
      </c>
      <c r="I235" s="2">
        <v>-215369.19</v>
      </c>
      <c r="J235" s="2">
        <f t="shared" si="3"/>
        <v>-3000</v>
      </c>
    </row>
    <row r="236" spans="1:10" x14ac:dyDescent="0.2">
      <c r="A236" s="3">
        <v>235</v>
      </c>
      <c r="B236" s="16" t="s">
        <v>313</v>
      </c>
      <c r="C236" s="1">
        <v>244342</v>
      </c>
      <c r="D236" t="s">
        <v>18</v>
      </c>
      <c r="E236" t="s">
        <v>304</v>
      </c>
      <c r="F236" t="s">
        <v>313</v>
      </c>
      <c r="H236" s="2">
        <v>2000</v>
      </c>
      <c r="I236" s="2">
        <v>-217369.19</v>
      </c>
      <c r="J236" s="2">
        <f t="shared" si="3"/>
        <v>-2000</v>
      </c>
    </row>
    <row r="237" spans="1:10" x14ac:dyDescent="0.2">
      <c r="A237" s="3">
        <v>236</v>
      </c>
      <c r="B237" s="16" t="s">
        <v>314</v>
      </c>
      <c r="C237" s="1">
        <v>244342</v>
      </c>
      <c r="D237" t="s">
        <v>18</v>
      </c>
      <c r="E237" t="s">
        <v>304</v>
      </c>
      <c r="F237" t="s">
        <v>314</v>
      </c>
      <c r="H237" s="2">
        <v>1000</v>
      </c>
      <c r="I237" s="2">
        <v>-218369.19</v>
      </c>
      <c r="J237" s="2">
        <f t="shared" si="3"/>
        <v>-1000</v>
      </c>
    </row>
    <row r="238" spans="1:10" x14ac:dyDescent="0.2">
      <c r="A238" s="3">
        <v>237</v>
      </c>
      <c r="B238" t="s">
        <v>315</v>
      </c>
      <c r="C238" s="1">
        <v>244342</v>
      </c>
      <c r="D238" t="s">
        <v>18</v>
      </c>
      <c r="E238" t="s">
        <v>304</v>
      </c>
      <c r="F238" t="s">
        <v>315</v>
      </c>
      <c r="H238" s="2">
        <v>3000</v>
      </c>
      <c r="I238" s="2">
        <v>-221369.19</v>
      </c>
      <c r="J238" s="2">
        <f t="shared" si="3"/>
        <v>-3000</v>
      </c>
    </row>
    <row r="239" spans="1:10" x14ac:dyDescent="0.2">
      <c r="A239" s="3">
        <v>238</v>
      </c>
      <c r="B239" s="16" t="s">
        <v>316</v>
      </c>
      <c r="C239" s="1">
        <v>244342</v>
      </c>
      <c r="D239" t="s">
        <v>18</v>
      </c>
      <c r="E239" t="s">
        <v>304</v>
      </c>
      <c r="F239" t="s">
        <v>316</v>
      </c>
      <c r="H239" s="2">
        <v>3000</v>
      </c>
      <c r="I239" s="2">
        <v>-224369.19</v>
      </c>
      <c r="J239" s="2">
        <f t="shared" si="3"/>
        <v>-3000</v>
      </c>
    </row>
    <row r="240" spans="1:10" x14ac:dyDescent="0.2">
      <c r="A240" s="3">
        <v>239</v>
      </c>
      <c r="B240" t="s">
        <v>317</v>
      </c>
      <c r="C240" s="1">
        <v>244342</v>
      </c>
      <c r="D240" t="s">
        <v>18</v>
      </c>
      <c r="E240" t="s">
        <v>304</v>
      </c>
      <c r="F240" t="s">
        <v>317</v>
      </c>
      <c r="H240" s="2">
        <v>10000</v>
      </c>
      <c r="I240" s="2">
        <v>-234369.19</v>
      </c>
      <c r="J240" s="2">
        <f t="shared" si="3"/>
        <v>-10000</v>
      </c>
    </row>
    <row r="241" spans="1:10" x14ac:dyDescent="0.2">
      <c r="A241" s="3">
        <v>240</v>
      </c>
      <c r="B241" t="s">
        <v>318</v>
      </c>
      <c r="C241" s="1">
        <v>244342</v>
      </c>
      <c r="D241" t="s">
        <v>18</v>
      </c>
      <c r="E241" t="s">
        <v>304</v>
      </c>
      <c r="F241" t="s">
        <v>318</v>
      </c>
      <c r="H241" s="2">
        <v>3000</v>
      </c>
      <c r="I241" s="2">
        <v>-237369.19</v>
      </c>
      <c r="J241" s="2">
        <f t="shared" si="3"/>
        <v>-3000</v>
      </c>
    </row>
    <row r="242" spans="1:10" x14ac:dyDescent="0.2">
      <c r="A242" s="3">
        <v>241</v>
      </c>
      <c r="B242" t="s">
        <v>131</v>
      </c>
      <c r="C242" s="1">
        <v>244342</v>
      </c>
      <c r="D242" t="s">
        <v>18</v>
      </c>
      <c r="E242" t="s">
        <v>304</v>
      </c>
      <c r="F242" t="s">
        <v>319</v>
      </c>
      <c r="G242" s="2">
        <v>3000</v>
      </c>
      <c r="I242" s="2">
        <v>-234369.19</v>
      </c>
      <c r="J242" s="2">
        <f t="shared" si="3"/>
        <v>3000</v>
      </c>
    </row>
    <row r="243" spans="1:10" x14ac:dyDescent="0.2">
      <c r="A243" s="3">
        <v>242</v>
      </c>
      <c r="B243" t="s">
        <v>307</v>
      </c>
      <c r="C243" s="1">
        <v>244343</v>
      </c>
      <c r="D243" t="s">
        <v>18</v>
      </c>
      <c r="E243" t="s">
        <v>320</v>
      </c>
      <c r="F243" t="s">
        <v>321</v>
      </c>
      <c r="G243" s="2">
        <v>1000</v>
      </c>
      <c r="I243" s="2">
        <v>-233369.19</v>
      </c>
      <c r="J243" s="2">
        <f t="shared" si="3"/>
        <v>1000</v>
      </c>
    </row>
    <row r="244" spans="1:10" x14ac:dyDescent="0.2">
      <c r="A244" s="3">
        <v>243</v>
      </c>
      <c r="B244" t="s">
        <v>151</v>
      </c>
      <c r="C244" s="1">
        <v>244343</v>
      </c>
      <c r="D244" t="s">
        <v>18</v>
      </c>
      <c r="E244" t="s">
        <v>320</v>
      </c>
      <c r="F244" t="s">
        <v>322</v>
      </c>
      <c r="G244" s="2">
        <v>5000</v>
      </c>
      <c r="I244" s="2">
        <v>-228369.19</v>
      </c>
      <c r="J244" s="2">
        <f t="shared" si="3"/>
        <v>5000</v>
      </c>
    </row>
    <row r="245" spans="1:10" x14ac:dyDescent="0.2">
      <c r="A245" s="3">
        <v>244</v>
      </c>
      <c r="B245" t="s">
        <v>125</v>
      </c>
      <c r="C245" s="1">
        <v>244343</v>
      </c>
      <c r="D245" t="s">
        <v>18</v>
      </c>
      <c r="E245" t="s">
        <v>320</v>
      </c>
      <c r="F245" t="s">
        <v>323</v>
      </c>
      <c r="G245" s="2">
        <v>3000</v>
      </c>
      <c r="I245" s="2">
        <v>-225369.19</v>
      </c>
      <c r="J245" s="2">
        <f t="shared" si="3"/>
        <v>3000</v>
      </c>
    </row>
    <row r="246" spans="1:10" x14ac:dyDescent="0.2">
      <c r="A246" s="3">
        <v>245</v>
      </c>
      <c r="B246" t="s">
        <v>324</v>
      </c>
      <c r="C246" s="1">
        <v>244343</v>
      </c>
      <c r="D246" t="s">
        <v>18</v>
      </c>
      <c r="E246" t="s">
        <v>320</v>
      </c>
      <c r="F246" t="s">
        <v>324</v>
      </c>
      <c r="H246" s="2">
        <v>3000</v>
      </c>
      <c r="I246" s="2">
        <v>-228369.19</v>
      </c>
      <c r="J246" s="2">
        <f t="shared" si="3"/>
        <v>-3000</v>
      </c>
    </row>
    <row r="247" spans="1:10" x14ac:dyDescent="0.2">
      <c r="A247" s="3">
        <v>246</v>
      </c>
      <c r="B247" s="16" t="s">
        <v>325</v>
      </c>
      <c r="C247" s="1">
        <v>244343</v>
      </c>
      <c r="D247" t="s">
        <v>18</v>
      </c>
      <c r="E247" t="s">
        <v>320</v>
      </c>
      <c r="F247" t="s">
        <v>325</v>
      </c>
      <c r="H247" s="2">
        <v>2000</v>
      </c>
      <c r="I247" s="2">
        <v>-230369.19</v>
      </c>
      <c r="J247" s="2">
        <f t="shared" si="3"/>
        <v>-2000</v>
      </c>
    </row>
    <row r="248" spans="1:10" x14ac:dyDescent="0.2">
      <c r="A248" s="3">
        <v>247</v>
      </c>
      <c r="B248" t="s">
        <v>326</v>
      </c>
      <c r="C248" s="1">
        <v>244343</v>
      </c>
      <c r="D248" t="s">
        <v>18</v>
      </c>
      <c r="E248" t="s">
        <v>320</v>
      </c>
      <c r="F248" t="s">
        <v>326</v>
      </c>
      <c r="H248" s="2">
        <v>5000</v>
      </c>
      <c r="I248" s="2">
        <v>-235369.19</v>
      </c>
      <c r="J248" s="2">
        <f t="shared" si="3"/>
        <v>-5000</v>
      </c>
    </row>
    <row r="249" spans="1:10" x14ac:dyDescent="0.2">
      <c r="A249" s="3">
        <v>248</v>
      </c>
      <c r="B249" t="s">
        <v>327</v>
      </c>
      <c r="C249" s="1">
        <v>244343</v>
      </c>
      <c r="D249" t="s">
        <v>18</v>
      </c>
      <c r="E249" t="s">
        <v>320</v>
      </c>
      <c r="F249" t="s">
        <v>327</v>
      </c>
      <c r="H249" s="2">
        <v>2000</v>
      </c>
      <c r="I249" s="2">
        <v>-237369.19</v>
      </c>
      <c r="J249" s="2">
        <f t="shared" si="3"/>
        <v>-2000</v>
      </c>
    </row>
    <row r="250" spans="1:10" x14ac:dyDescent="0.2">
      <c r="A250" s="3">
        <v>249</v>
      </c>
      <c r="B250" t="s">
        <v>328</v>
      </c>
      <c r="C250" s="1">
        <v>244343</v>
      </c>
      <c r="D250" t="s">
        <v>18</v>
      </c>
      <c r="E250" t="s">
        <v>320</v>
      </c>
      <c r="F250" t="s">
        <v>328</v>
      </c>
      <c r="H250" s="2">
        <v>2000</v>
      </c>
      <c r="I250" s="2">
        <v>-239369.19</v>
      </c>
      <c r="J250" s="2">
        <f t="shared" si="3"/>
        <v>-2000</v>
      </c>
    </row>
    <row r="251" spans="1:10" x14ac:dyDescent="0.2">
      <c r="A251" s="3">
        <v>250</v>
      </c>
      <c r="B251" s="16" t="s">
        <v>329</v>
      </c>
      <c r="C251" s="1">
        <v>244343</v>
      </c>
      <c r="D251" t="s">
        <v>18</v>
      </c>
      <c r="E251" t="s">
        <v>320</v>
      </c>
      <c r="F251" t="s">
        <v>329</v>
      </c>
      <c r="H251" s="2">
        <v>2000</v>
      </c>
      <c r="I251" s="2">
        <v>-241369.19</v>
      </c>
      <c r="J251" s="2">
        <f t="shared" si="3"/>
        <v>-2000</v>
      </c>
    </row>
    <row r="252" spans="1:10" x14ac:dyDescent="0.2">
      <c r="A252" s="3">
        <v>251</v>
      </c>
      <c r="B252" t="s">
        <v>330</v>
      </c>
      <c r="C252" s="1">
        <v>244343</v>
      </c>
      <c r="D252" t="s">
        <v>18</v>
      </c>
      <c r="E252" t="s">
        <v>320</v>
      </c>
      <c r="F252" t="s">
        <v>330</v>
      </c>
      <c r="H252" s="2">
        <v>3000</v>
      </c>
      <c r="I252" s="2">
        <v>-244369.19</v>
      </c>
      <c r="J252" s="2">
        <f t="shared" si="3"/>
        <v>-3000</v>
      </c>
    </row>
    <row r="253" spans="1:10" x14ac:dyDescent="0.2">
      <c r="A253" s="3">
        <v>252</v>
      </c>
      <c r="B253" t="s">
        <v>331</v>
      </c>
      <c r="C253" s="1">
        <v>244343</v>
      </c>
      <c r="D253" t="s">
        <v>18</v>
      </c>
      <c r="E253" t="s">
        <v>320</v>
      </c>
      <c r="F253" t="s">
        <v>331</v>
      </c>
      <c r="H253" s="2">
        <v>2000</v>
      </c>
      <c r="I253" s="2">
        <v>-246369.19</v>
      </c>
      <c r="J253" s="2">
        <f t="shared" si="3"/>
        <v>-2000</v>
      </c>
    </row>
    <row r="254" spans="1:10" x14ac:dyDescent="0.2">
      <c r="A254" s="3">
        <v>253</v>
      </c>
      <c r="B254" t="s">
        <v>221</v>
      </c>
      <c r="C254" s="1">
        <v>244344</v>
      </c>
      <c r="D254" t="s">
        <v>18</v>
      </c>
      <c r="E254" t="s">
        <v>332</v>
      </c>
      <c r="F254" t="s">
        <v>333</v>
      </c>
      <c r="G254" s="2">
        <v>3000</v>
      </c>
      <c r="I254" s="2">
        <v>-243369.19</v>
      </c>
      <c r="J254" s="2">
        <f t="shared" si="3"/>
        <v>3000</v>
      </c>
    </row>
    <row r="255" spans="1:10" x14ac:dyDescent="0.2">
      <c r="A255" s="3">
        <v>254</v>
      </c>
      <c r="B255" t="s">
        <v>222</v>
      </c>
      <c r="C255" s="1">
        <v>244344</v>
      </c>
      <c r="D255" t="s">
        <v>18</v>
      </c>
      <c r="E255" t="s">
        <v>334</v>
      </c>
      <c r="F255" t="s">
        <v>335</v>
      </c>
      <c r="G255" s="2">
        <v>3000</v>
      </c>
      <c r="I255" s="2">
        <v>-240369.19</v>
      </c>
      <c r="J255" s="2">
        <f t="shared" si="3"/>
        <v>3000</v>
      </c>
    </row>
    <row r="256" spans="1:10" x14ac:dyDescent="0.2">
      <c r="A256" s="3">
        <v>255</v>
      </c>
      <c r="B256" t="s">
        <v>295</v>
      </c>
      <c r="C256" s="1">
        <v>244344</v>
      </c>
      <c r="D256" t="s">
        <v>18</v>
      </c>
      <c r="E256" t="s">
        <v>336</v>
      </c>
      <c r="F256" t="s">
        <v>337</v>
      </c>
      <c r="G256" s="2">
        <v>3000</v>
      </c>
      <c r="I256" s="2">
        <v>-237369.19</v>
      </c>
      <c r="J256" s="2">
        <f t="shared" si="3"/>
        <v>3000</v>
      </c>
    </row>
    <row r="257" spans="1:10" x14ac:dyDescent="0.2">
      <c r="A257" s="3">
        <v>256</v>
      </c>
      <c r="B257" s="16" t="s">
        <v>338</v>
      </c>
      <c r="C257" s="1">
        <v>244344</v>
      </c>
      <c r="D257" t="s">
        <v>18</v>
      </c>
      <c r="E257" t="s">
        <v>336</v>
      </c>
      <c r="F257" t="s">
        <v>338</v>
      </c>
      <c r="H257" s="2">
        <v>3000</v>
      </c>
      <c r="I257" s="2">
        <v>-240369.19</v>
      </c>
      <c r="J257" s="2">
        <f t="shared" ref="J257:J320" si="4">G257-H257</f>
        <v>-3000</v>
      </c>
    </row>
    <row r="258" spans="1:10" x14ac:dyDescent="0.2">
      <c r="A258" s="3">
        <v>257</v>
      </c>
      <c r="B258" t="s">
        <v>339</v>
      </c>
      <c r="C258" s="1">
        <v>244344</v>
      </c>
      <c r="D258" t="s">
        <v>18</v>
      </c>
      <c r="E258" t="s">
        <v>336</v>
      </c>
      <c r="F258" t="s">
        <v>339</v>
      </c>
      <c r="H258" s="2">
        <v>5000</v>
      </c>
      <c r="I258" s="2">
        <v>-245369.19</v>
      </c>
      <c r="J258" s="2">
        <f t="shared" si="4"/>
        <v>-5000</v>
      </c>
    </row>
    <row r="259" spans="1:10" x14ac:dyDescent="0.2">
      <c r="A259" s="3">
        <v>258</v>
      </c>
      <c r="B259" s="16" t="s">
        <v>340</v>
      </c>
      <c r="C259" s="1">
        <v>244344</v>
      </c>
      <c r="D259" t="s">
        <v>18</v>
      </c>
      <c r="E259" t="s">
        <v>336</v>
      </c>
      <c r="F259" t="s">
        <v>340</v>
      </c>
      <c r="H259" s="2">
        <v>3000</v>
      </c>
      <c r="I259" s="2">
        <v>-248369.19</v>
      </c>
      <c r="J259" s="2">
        <f t="shared" si="4"/>
        <v>-3000</v>
      </c>
    </row>
    <row r="260" spans="1:10" x14ac:dyDescent="0.2">
      <c r="A260" s="3">
        <v>259</v>
      </c>
      <c r="B260" t="s">
        <v>341</v>
      </c>
      <c r="C260" s="1">
        <v>244344</v>
      </c>
      <c r="D260" t="s">
        <v>18</v>
      </c>
      <c r="E260" t="s">
        <v>336</v>
      </c>
      <c r="F260" t="s">
        <v>341</v>
      </c>
      <c r="H260" s="2">
        <v>3000</v>
      </c>
      <c r="I260" s="2">
        <v>-251369.19</v>
      </c>
      <c r="J260" s="2">
        <f t="shared" si="4"/>
        <v>-3000</v>
      </c>
    </row>
    <row r="261" spans="1:10" x14ac:dyDescent="0.2">
      <c r="A261" s="3">
        <v>260</v>
      </c>
      <c r="B261" t="s">
        <v>343</v>
      </c>
      <c r="C261" s="1">
        <v>244345</v>
      </c>
      <c r="D261" t="s">
        <v>18</v>
      </c>
      <c r="E261" t="s">
        <v>342</v>
      </c>
      <c r="F261" t="s">
        <v>343</v>
      </c>
      <c r="H261" s="2">
        <v>3000</v>
      </c>
      <c r="I261" s="2">
        <v>-254369.19</v>
      </c>
      <c r="J261" s="2">
        <f t="shared" si="4"/>
        <v>-3000</v>
      </c>
    </row>
    <row r="262" spans="1:10" x14ac:dyDescent="0.2">
      <c r="A262" s="3">
        <v>261</v>
      </c>
      <c r="B262" s="16" t="s">
        <v>344</v>
      </c>
      <c r="C262" s="1">
        <v>244345</v>
      </c>
      <c r="D262" t="s">
        <v>18</v>
      </c>
      <c r="E262" t="s">
        <v>342</v>
      </c>
      <c r="F262" t="s">
        <v>344</v>
      </c>
      <c r="H262" s="2">
        <v>2000</v>
      </c>
      <c r="I262" s="2">
        <v>-256369.19</v>
      </c>
      <c r="J262" s="2">
        <f t="shared" si="4"/>
        <v>-2000</v>
      </c>
    </row>
    <row r="263" spans="1:10" x14ac:dyDescent="0.2">
      <c r="A263" s="3">
        <v>262</v>
      </c>
      <c r="B263" t="s">
        <v>346</v>
      </c>
      <c r="C263" s="1">
        <v>244347</v>
      </c>
      <c r="D263" t="s">
        <v>18</v>
      </c>
      <c r="E263" t="s">
        <v>345</v>
      </c>
      <c r="F263" t="s">
        <v>346</v>
      </c>
      <c r="G263" s="2">
        <v>5000</v>
      </c>
      <c r="I263" s="2">
        <v>-251369.19</v>
      </c>
      <c r="J263" s="2">
        <f t="shared" si="4"/>
        <v>5000</v>
      </c>
    </row>
    <row r="264" spans="1:10" x14ac:dyDescent="0.2">
      <c r="A264" s="3">
        <v>263</v>
      </c>
      <c r="B264" t="s">
        <v>159</v>
      </c>
      <c r="C264" s="1">
        <v>244347</v>
      </c>
      <c r="D264" t="s">
        <v>18</v>
      </c>
      <c r="E264" t="s">
        <v>347</v>
      </c>
      <c r="F264" t="s">
        <v>348</v>
      </c>
      <c r="G264" s="2">
        <v>3000</v>
      </c>
      <c r="I264" s="2">
        <v>-248369.19</v>
      </c>
      <c r="J264" s="2">
        <f t="shared" si="4"/>
        <v>3000</v>
      </c>
    </row>
    <row r="265" spans="1:10" x14ac:dyDescent="0.2">
      <c r="A265" s="3">
        <v>264</v>
      </c>
      <c r="B265" s="15" t="s">
        <v>190</v>
      </c>
      <c r="C265" s="1">
        <v>244347</v>
      </c>
      <c r="D265" t="s">
        <v>18</v>
      </c>
      <c r="E265" t="s">
        <v>349</v>
      </c>
      <c r="F265" t="s">
        <v>350</v>
      </c>
      <c r="G265" s="6">
        <v>10000</v>
      </c>
      <c r="I265" s="2">
        <v>-238369.19</v>
      </c>
      <c r="J265" s="2">
        <f t="shared" si="4"/>
        <v>10000</v>
      </c>
    </row>
    <row r="266" spans="1:10" x14ac:dyDescent="0.2">
      <c r="A266" s="3">
        <v>265</v>
      </c>
      <c r="B266" t="s">
        <v>255</v>
      </c>
      <c r="C266" s="1">
        <v>244348</v>
      </c>
      <c r="D266" t="s">
        <v>18</v>
      </c>
      <c r="E266" t="s">
        <v>351</v>
      </c>
      <c r="F266" t="s">
        <v>352</v>
      </c>
      <c r="G266" s="2">
        <v>1000</v>
      </c>
      <c r="I266" s="2">
        <v>-237369.19</v>
      </c>
      <c r="J266" s="2">
        <f t="shared" si="4"/>
        <v>1000</v>
      </c>
    </row>
    <row r="267" spans="1:10" x14ac:dyDescent="0.2">
      <c r="A267" s="3">
        <v>266</v>
      </c>
      <c r="B267" t="s">
        <v>131</v>
      </c>
      <c r="C267" s="1">
        <v>244348</v>
      </c>
      <c r="D267" t="s">
        <v>18</v>
      </c>
      <c r="E267" t="s">
        <v>353</v>
      </c>
      <c r="F267" t="s">
        <v>131</v>
      </c>
      <c r="G267" s="2">
        <v>3000</v>
      </c>
      <c r="I267" s="2">
        <v>-234369.19</v>
      </c>
      <c r="J267" s="2">
        <f t="shared" si="4"/>
        <v>3000</v>
      </c>
    </row>
    <row r="268" spans="1:10" x14ac:dyDescent="0.2">
      <c r="A268" s="3">
        <v>267</v>
      </c>
      <c r="B268" t="s">
        <v>308</v>
      </c>
      <c r="C268" s="1">
        <v>244348</v>
      </c>
      <c r="D268" t="s">
        <v>18</v>
      </c>
      <c r="E268" t="s">
        <v>354</v>
      </c>
      <c r="F268" t="s">
        <v>355</v>
      </c>
      <c r="G268" s="2">
        <v>3000</v>
      </c>
      <c r="I268" s="2">
        <v>-231369.19</v>
      </c>
      <c r="J268" s="2">
        <f t="shared" si="4"/>
        <v>3000</v>
      </c>
    </row>
    <row r="269" spans="1:10" x14ac:dyDescent="0.2">
      <c r="A269" s="3">
        <v>268</v>
      </c>
      <c r="B269" t="s">
        <v>218</v>
      </c>
      <c r="C269" s="1">
        <v>244348</v>
      </c>
      <c r="D269" t="s">
        <v>18</v>
      </c>
      <c r="E269" t="s">
        <v>356</v>
      </c>
      <c r="F269" t="s">
        <v>357</v>
      </c>
      <c r="G269" s="2">
        <v>3000</v>
      </c>
      <c r="I269" s="2">
        <v>-228369.19</v>
      </c>
      <c r="J269" s="2">
        <f t="shared" si="4"/>
        <v>3000</v>
      </c>
    </row>
    <row r="270" spans="1:10" x14ac:dyDescent="0.2">
      <c r="A270" s="3">
        <v>269</v>
      </c>
      <c r="B270" t="s">
        <v>305</v>
      </c>
      <c r="C270" s="1">
        <v>244348</v>
      </c>
      <c r="D270" t="s">
        <v>18</v>
      </c>
      <c r="E270" t="s">
        <v>358</v>
      </c>
      <c r="F270" t="s">
        <v>359</v>
      </c>
      <c r="G270" s="2">
        <v>5000</v>
      </c>
      <c r="I270" s="2">
        <v>-223369.19</v>
      </c>
      <c r="J270" s="2">
        <f t="shared" si="4"/>
        <v>5000</v>
      </c>
    </row>
    <row r="271" spans="1:10" x14ac:dyDescent="0.2">
      <c r="A271" s="3">
        <v>270</v>
      </c>
      <c r="B271" t="s">
        <v>248</v>
      </c>
      <c r="C271" s="1">
        <v>244348</v>
      </c>
      <c r="D271" t="s">
        <v>18</v>
      </c>
      <c r="E271" t="s">
        <v>360</v>
      </c>
      <c r="F271" t="s">
        <v>361</v>
      </c>
      <c r="G271" s="2">
        <v>13000</v>
      </c>
      <c r="I271" s="2">
        <v>-210369.19</v>
      </c>
      <c r="J271" s="2">
        <f t="shared" si="4"/>
        <v>13000</v>
      </c>
    </row>
    <row r="272" spans="1:10" x14ac:dyDescent="0.2">
      <c r="A272" s="3">
        <v>271</v>
      </c>
      <c r="B272" t="s">
        <v>246</v>
      </c>
      <c r="C272" s="1">
        <v>244348</v>
      </c>
      <c r="D272" t="s">
        <v>18</v>
      </c>
      <c r="E272" t="s">
        <v>362</v>
      </c>
      <c r="F272" t="s">
        <v>363</v>
      </c>
      <c r="G272" s="2">
        <v>10000</v>
      </c>
      <c r="I272" s="2">
        <v>-200369.19</v>
      </c>
      <c r="J272" s="2">
        <f t="shared" si="4"/>
        <v>10000</v>
      </c>
    </row>
    <row r="273" spans="1:10" x14ac:dyDescent="0.2">
      <c r="A273" s="3">
        <v>272</v>
      </c>
      <c r="B273" t="s">
        <v>276</v>
      </c>
      <c r="C273" s="1">
        <v>244348</v>
      </c>
      <c r="D273" t="s">
        <v>18</v>
      </c>
      <c r="E273" t="s">
        <v>362</v>
      </c>
      <c r="F273" t="s">
        <v>364</v>
      </c>
      <c r="G273" s="2">
        <v>3000</v>
      </c>
      <c r="I273" s="2">
        <v>-197369.19</v>
      </c>
      <c r="J273" s="2">
        <f t="shared" si="4"/>
        <v>3000</v>
      </c>
    </row>
    <row r="274" spans="1:10" x14ac:dyDescent="0.2">
      <c r="A274" s="3">
        <v>273</v>
      </c>
      <c r="B274" t="s">
        <v>339</v>
      </c>
      <c r="C274" s="1">
        <v>244348</v>
      </c>
      <c r="D274" t="s">
        <v>18</v>
      </c>
      <c r="E274" t="s">
        <v>365</v>
      </c>
      <c r="F274" t="s">
        <v>366</v>
      </c>
      <c r="G274" s="2">
        <v>5000</v>
      </c>
      <c r="I274" s="2">
        <v>-192369.19</v>
      </c>
      <c r="J274" s="2">
        <f t="shared" si="4"/>
        <v>5000</v>
      </c>
    </row>
    <row r="275" spans="1:10" x14ac:dyDescent="0.2">
      <c r="A275" s="3">
        <v>274</v>
      </c>
      <c r="B275" t="s">
        <v>171</v>
      </c>
      <c r="C275" s="1">
        <v>244348</v>
      </c>
      <c r="D275" t="s">
        <v>18</v>
      </c>
      <c r="E275" t="s">
        <v>365</v>
      </c>
      <c r="F275" t="s">
        <v>367</v>
      </c>
      <c r="G275" s="2">
        <v>1000</v>
      </c>
      <c r="I275" s="2">
        <v>-191369.19</v>
      </c>
      <c r="J275" s="2">
        <f t="shared" si="4"/>
        <v>1000</v>
      </c>
    </row>
    <row r="276" spans="1:10" x14ac:dyDescent="0.2">
      <c r="A276" s="3">
        <v>275</v>
      </c>
      <c r="B276" t="s">
        <v>254</v>
      </c>
      <c r="C276" s="1">
        <v>244348</v>
      </c>
      <c r="D276" t="s">
        <v>18</v>
      </c>
      <c r="E276" t="s">
        <v>365</v>
      </c>
      <c r="F276" t="s">
        <v>368</v>
      </c>
      <c r="G276" s="2">
        <v>3000</v>
      </c>
      <c r="I276" s="2">
        <v>-188369.19</v>
      </c>
      <c r="J276" s="2">
        <f t="shared" si="4"/>
        <v>3000</v>
      </c>
    </row>
    <row r="277" spans="1:10" x14ac:dyDescent="0.2">
      <c r="A277" s="3">
        <v>276</v>
      </c>
      <c r="B277" t="s">
        <v>324</v>
      </c>
      <c r="C277" s="1">
        <v>244348</v>
      </c>
      <c r="D277" t="s">
        <v>18</v>
      </c>
      <c r="E277" t="s">
        <v>365</v>
      </c>
      <c r="F277" t="s">
        <v>369</v>
      </c>
      <c r="G277" s="2">
        <v>3000</v>
      </c>
      <c r="I277" s="2">
        <v>-185369.19</v>
      </c>
      <c r="J277" s="2">
        <f t="shared" si="4"/>
        <v>3000</v>
      </c>
    </row>
    <row r="278" spans="1:10" x14ac:dyDescent="0.2">
      <c r="A278" s="3">
        <v>277</v>
      </c>
      <c r="B278" t="s">
        <v>306</v>
      </c>
      <c r="C278" s="1">
        <v>244348</v>
      </c>
      <c r="D278" t="s">
        <v>18</v>
      </c>
      <c r="E278" t="s">
        <v>365</v>
      </c>
      <c r="F278" t="s">
        <v>370</v>
      </c>
      <c r="G278" s="2">
        <v>3000</v>
      </c>
      <c r="I278" s="2">
        <v>-182369.19</v>
      </c>
      <c r="J278" s="2">
        <f t="shared" si="4"/>
        <v>3000</v>
      </c>
    </row>
    <row r="279" spans="1:10" x14ac:dyDescent="0.2">
      <c r="A279" s="3">
        <v>278</v>
      </c>
      <c r="B279" t="s">
        <v>37</v>
      </c>
      <c r="C279" s="1">
        <v>244348</v>
      </c>
      <c r="D279" t="s">
        <v>371</v>
      </c>
      <c r="E279" t="s">
        <v>372</v>
      </c>
      <c r="F279" t="s">
        <v>373</v>
      </c>
      <c r="H279" s="2">
        <v>196.26</v>
      </c>
      <c r="I279" s="2">
        <v>-182565.45</v>
      </c>
      <c r="J279" s="2">
        <f t="shared" si="4"/>
        <v>-196.26</v>
      </c>
    </row>
    <row r="280" spans="1:10" x14ac:dyDescent="0.2">
      <c r="A280" s="3">
        <v>279</v>
      </c>
      <c r="B280" t="s">
        <v>297</v>
      </c>
      <c r="C280" s="1">
        <v>244348</v>
      </c>
      <c r="D280" t="s">
        <v>371</v>
      </c>
      <c r="E280" t="s">
        <v>372</v>
      </c>
      <c r="F280" t="s">
        <v>374</v>
      </c>
      <c r="H280" s="2">
        <v>327.10000000000002</v>
      </c>
      <c r="I280" s="2">
        <v>-182892.55</v>
      </c>
      <c r="J280" s="2">
        <f t="shared" si="4"/>
        <v>-327.10000000000002</v>
      </c>
    </row>
    <row r="281" spans="1:10" x14ac:dyDescent="0.2">
      <c r="A281" s="3">
        <v>280</v>
      </c>
      <c r="B281" t="s">
        <v>151</v>
      </c>
      <c r="C281" s="1">
        <v>244348</v>
      </c>
      <c r="D281" t="s">
        <v>371</v>
      </c>
      <c r="E281" t="s">
        <v>375</v>
      </c>
      <c r="F281" t="s">
        <v>376</v>
      </c>
      <c r="G281" s="2">
        <v>327.10000000000002</v>
      </c>
      <c r="I281" s="2">
        <v>-182565.45</v>
      </c>
      <c r="J281" s="2">
        <f t="shared" si="4"/>
        <v>327.10000000000002</v>
      </c>
    </row>
    <row r="282" spans="1:10" x14ac:dyDescent="0.2">
      <c r="A282" s="3">
        <v>281</v>
      </c>
      <c r="B282" t="s">
        <v>377</v>
      </c>
      <c r="C282" s="1">
        <v>244348</v>
      </c>
      <c r="D282" t="s">
        <v>371</v>
      </c>
      <c r="E282" t="s">
        <v>375</v>
      </c>
      <c r="F282" t="s">
        <v>377</v>
      </c>
      <c r="G282" s="2">
        <v>654.21</v>
      </c>
      <c r="I282" s="2">
        <v>-181911.24</v>
      </c>
      <c r="J282" s="2">
        <f t="shared" si="4"/>
        <v>654.21</v>
      </c>
    </row>
    <row r="283" spans="1:10" x14ac:dyDescent="0.2">
      <c r="A283" s="3">
        <v>282</v>
      </c>
      <c r="B283" s="16" t="s">
        <v>154</v>
      </c>
      <c r="C283" s="1">
        <v>244348</v>
      </c>
      <c r="D283" t="s">
        <v>371</v>
      </c>
      <c r="E283" t="s">
        <v>375</v>
      </c>
      <c r="F283" t="s">
        <v>378</v>
      </c>
      <c r="G283" s="2">
        <v>130.84</v>
      </c>
      <c r="I283" s="2">
        <v>-181780.4</v>
      </c>
      <c r="J283" s="2">
        <f t="shared" si="4"/>
        <v>130.84</v>
      </c>
    </row>
    <row r="284" spans="1:10" x14ac:dyDescent="0.2">
      <c r="A284" s="3">
        <v>283</v>
      </c>
      <c r="B284" t="s">
        <v>482</v>
      </c>
      <c r="C284" s="1">
        <v>244348</v>
      </c>
      <c r="D284" t="s">
        <v>371</v>
      </c>
      <c r="E284" t="s">
        <v>375</v>
      </c>
      <c r="F284" t="s">
        <v>379</v>
      </c>
      <c r="G284" s="2">
        <v>327.10000000000002</v>
      </c>
      <c r="I284" s="2">
        <v>-181453.3</v>
      </c>
      <c r="J284" s="2">
        <f t="shared" si="4"/>
        <v>327.10000000000002</v>
      </c>
    </row>
    <row r="285" spans="1:10" x14ac:dyDescent="0.2">
      <c r="A285" s="3">
        <v>284</v>
      </c>
      <c r="B285" t="s">
        <v>484</v>
      </c>
      <c r="C285" s="1">
        <v>244348</v>
      </c>
      <c r="D285" t="s">
        <v>371</v>
      </c>
      <c r="E285" t="s">
        <v>375</v>
      </c>
      <c r="F285" t="s">
        <v>380</v>
      </c>
      <c r="G285" s="2">
        <v>196.26</v>
      </c>
      <c r="I285" s="2">
        <v>-181257.04</v>
      </c>
      <c r="J285" s="2">
        <f t="shared" si="4"/>
        <v>196.26</v>
      </c>
    </row>
    <row r="286" spans="1:10" x14ac:dyDescent="0.2">
      <c r="A286" s="3">
        <v>285</v>
      </c>
      <c r="B286" s="16" t="s">
        <v>157</v>
      </c>
      <c r="C286" s="1">
        <v>244348</v>
      </c>
      <c r="D286" t="s">
        <v>371</v>
      </c>
      <c r="E286" t="s">
        <v>375</v>
      </c>
      <c r="F286" t="s">
        <v>381</v>
      </c>
      <c r="G286" s="2">
        <v>130.84</v>
      </c>
      <c r="I286" s="2">
        <v>-181126.2</v>
      </c>
      <c r="J286" s="2">
        <f t="shared" si="4"/>
        <v>130.84</v>
      </c>
    </row>
    <row r="287" spans="1:10" x14ac:dyDescent="0.2">
      <c r="A287" s="3">
        <v>286</v>
      </c>
      <c r="B287" t="s">
        <v>159</v>
      </c>
      <c r="C287" s="1">
        <v>244348</v>
      </c>
      <c r="D287" t="s">
        <v>371</v>
      </c>
      <c r="E287" t="s">
        <v>375</v>
      </c>
      <c r="F287" t="s">
        <v>382</v>
      </c>
      <c r="G287" s="2">
        <v>196.26</v>
      </c>
      <c r="I287" s="2">
        <v>-180929.94</v>
      </c>
      <c r="J287" s="2">
        <f t="shared" si="4"/>
        <v>196.26</v>
      </c>
    </row>
    <row r="288" spans="1:10" x14ac:dyDescent="0.2">
      <c r="A288" s="3">
        <v>287</v>
      </c>
      <c r="B288" t="s">
        <v>160</v>
      </c>
      <c r="C288" s="1">
        <v>244348</v>
      </c>
      <c r="D288" t="s">
        <v>371</v>
      </c>
      <c r="E288" t="s">
        <v>375</v>
      </c>
      <c r="F288" t="s">
        <v>383</v>
      </c>
      <c r="G288" s="2">
        <v>196.26</v>
      </c>
      <c r="I288" s="2">
        <v>-180733.68</v>
      </c>
      <c r="J288" s="2">
        <f t="shared" si="4"/>
        <v>196.26</v>
      </c>
    </row>
    <row r="289" spans="1:10" x14ac:dyDescent="0.2">
      <c r="A289" s="3">
        <v>288</v>
      </c>
      <c r="B289" t="s">
        <v>161</v>
      </c>
      <c r="C289" s="1">
        <v>244348</v>
      </c>
      <c r="D289" t="s">
        <v>371</v>
      </c>
      <c r="E289" t="s">
        <v>375</v>
      </c>
      <c r="F289" t="s">
        <v>384</v>
      </c>
      <c r="G289" s="2">
        <v>65.42</v>
      </c>
      <c r="I289" s="2">
        <v>-180668.26</v>
      </c>
      <c r="J289" s="2">
        <f t="shared" si="4"/>
        <v>65.42</v>
      </c>
    </row>
    <row r="290" spans="1:10" x14ac:dyDescent="0.2">
      <c r="A290" s="3">
        <v>289</v>
      </c>
      <c r="B290" t="s">
        <v>162</v>
      </c>
      <c r="C290" s="1">
        <v>244348</v>
      </c>
      <c r="D290" t="s">
        <v>371</v>
      </c>
      <c r="E290" t="s">
        <v>375</v>
      </c>
      <c r="F290" t="s">
        <v>385</v>
      </c>
      <c r="G290" s="2">
        <v>196.26</v>
      </c>
      <c r="I290" s="2">
        <v>-180472</v>
      </c>
      <c r="J290" s="2">
        <f t="shared" si="4"/>
        <v>196.26</v>
      </c>
    </row>
    <row r="291" spans="1:10" x14ac:dyDescent="0.2">
      <c r="A291" s="3">
        <v>290</v>
      </c>
      <c r="B291" t="s">
        <v>386</v>
      </c>
      <c r="C291" s="1">
        <v>244348</v>
      </c>
      <c r="D291" t="s">
        <v>371</v>
      </c>
      <c r="E291" t="s">
        <v>375</v>
      </c>
      <c r="F291" t="s">
        <v>386</v>
      </c>
      <c r="G291" s="2">
        <v>261.68</v>
      </c>
      <c r="I291" s="2">
        <v>-180210.32</v>
      </c>
      <c r="J291" s="2">
        <f t="shared" si="4"/>
        <v>261.68</v>
      </c>
    </row>
    <row r="292" spans="1:10" x14ac:dyDescent="0.2">
      <c r="A292" s="3">
        <v>291</v>
      </c>
      <c r="B292" t="s">
        <v>387</v>
      </c>
      <c r="C292" s="1">
        <v>244348</v>
      </c>
      <c r="D292" t="s">
        <v>371</v>
      </c>
      <c r="E292" t="s">
        <v>375</v>
      </c>
      <c r="F292" t="s">
        <v>387</v>
      </c>
      <c r="G292" s="2">
        <v>8825.23</v>
      </c>
      <c r="I292" s="2">
        <v>-171385.09</v>
      </c>
      <c r="J292" s="2">
        <f t="shared" si="4"/>
        <v>8825.23</v>
      </c>
    </row>
    <row r="293" spans="1:10" x14ac:dyDescent="0.2">
      <c r="A293" s="3">
        <v>292</v>
      </c>
      <c r="B293" t="s">
        <v>170</v>
      </c>
      <c r="C293" s="1">
        <v>244348</v>
      </c>
      <c r="D293" t="s">
        <v>371</v>
      </c>
      <c r="E293" t="s">
        <v>375</v>
      </c>
      <c r="F293" t="s">
        <v>388</v>
      </c>
      <c r="G293" s="2">
        <v>196.26</v>
      </c>
      <c r="I293" s="2">
        <v>-171188.83</v>
      </c>
      <c r="J293" s="2">
        <f t="shared" si="4"/>
        <v>196.26</v>
      </c>
    </row>
    <row r="294" spans="1:10" x14ac:dyDescent="0.2">
      <c r="A294" s="3">
        <v>293</v>
      </c>
      <c r="B294" t="s">
        <v>171</v>
      </c>
      <c r="C294" s="1">
        <v>244348</v>
      </c>
      <c r="D294" t="s">
        <v>371</v>
      </c>
      <c r="E294" t="s">
        <v>375</v>
      </c>
      <c r="F294" t="s">
        <v>389</v>
      </c>
      <c r="G294" s="2">
        <v>65.42</v>
      </c>
      <c r="I294" s="2">
        <v>-171123.41</v>
      </c>
      <c r="J294" s="2">
        <f t="shared" si="4"/>
        <v>65.42</v>
      </c>
    </row>
    <row r="295" spans="1:10" x14ac:dyDescent="0.2">
      <c r="A295" s="3">
        <v>294</v>
      </c>
      <c r="B295" t="s">
        <v>172</v>
      </c>
      <c r="C295" s="1">
        <v>244348</v>
      </c>
      <c r="D295" t="s">
        <v>371</v>
      </c>
      <c r="E295" t="s">
        <v>375</v>
      </c>
      <c r="F295" t="s">
        <v>390</v>
      </c>
      <c r="G295" s="2">
        <v>196.26</v>
      </c>
      <c r="I295" s="2">
        <v>-170927.15</v>
      </c>
      <c r="J295" s="2">
        <f t="shared" si="4"/>
        <v>196.26</v>
      </c>
    </row>
    <row r="296" spans="1:10" x14ac:dyDescent="0.2">
      <c r="A296" s="3">
        <v>295</v>
      </c>
      <c r="B296" t="s">
        <v>391</v>
      </c>
      <c r="C296" s="1">
        <v>244348</v>
      </c>
      <c r="D296" t="s">
        <v>371</v>
      </c>
      <c r="E296" t="s">
        <v>375</v>
      </c>
      <c r="F296" t="s">
        <v>391</v>
      </c>
      <c r="G296" s="2">
        <v>196.26</v>
      </c>
      <c r="I296" s="2">
        <v>-170730.89</v>
      </c>
      <c r="J296" s="2">
        <f t="shared" si="4"/>
        <v>196.26</v>
      </c>
    </row>
    <row r="297" spans="1:10" x14ac:dyDescent="0.2">
      <c r="A297" s="3">
        <v>296</v>
      </c>
      <c r="B297" t="s">
        <v>175</v>
      </c>
      <c r="C297" s="1">
        <v>244348</v>
      </c>
      <c r="D297" t="s">
        <v>371</v>
      </c>
      <c r="E297" t="s">
        <v>375</v>
      </c>
      <c r="F297" t="s">
        <v>392</v>
      </c>
      <c r="G297" s="2">
        <v>130.84</v>
      </c>
      <c r="I297" s="2">
        <v>-170600.05</v>
      </c>
      <c r="J297" s="2">
        <f t="shared" si="4"/>
        <v>130.84</v>
      </c>
    </row>
    <row r="298" spans="1:10" x14ac:dyDescent="0.2">
      <c r="A298" s="3">
        <v>297</v>
      </c>
      <c r="B298" t="s">
        <v>178</v>
      </c>
      <c r="C298" s="1">
        <v>244348</v>
      </c>
      <c r="D298" t="s">
        <v>371</v>
      </c>
      <c r="E298" t="s">
        <v>375</v>
      </c>
      <c r="F298" t="s">
        <v>393</v>
      </c>
      <c r="G298" s="2">
        <v>196.26</v>
      </c>
      <c r="I298" s="2">
        <v>-170403.79</v>
      </c>
      <c r="J298" s="2">
        <f t="shared" si="4"/>
        <v>196.26</v>
      </c>
    </row>
    <row r="299" spans="1:10" x14ac:dyDescent="0.2">
      <c r="A299" s="3">
        <v>298</v>
      </c>
      <c r="B299" t="s">
        <v>179</v>
      </c>
      <c r="C299" s="1">
        <v>244348</v>
      </c>
      <c r="D299" t="s">
        <v>371</v>
      </c>
      <c r="E299" t="s">
        <v>375</v>
      </c>
      <c r="F299" t="s">
        <v>394</v>
      </c>
      <c r="G299" s="2">
        <v>2158.88</v>
      </c>
      <c r="I299" s="2">
        <v>-168244.91</v>
      </c>
      <c r="J299" s="2">
        <f t="shared" si="4"/>
        <v>2158.88</v>
      </c>
    </row>
    <row r="300" spans="1:10" x14ac:dyDescent="0.2">
      <c r="A300" s="3">
        <v>299</v>
      </c>
      <c r="B300" t="s">
        <v>180</v>
      </c>
      <c r="C300" s="1">
        <v>244348</v>
      </c>
      <c r="D300" t="s">
        <v>371</v>
      </c>
      <c r="E300" t="s">
        <v>375</v>
      </c>
      <c r="F300" t="s">
        <v>395</v>
      </c>
      <c r="G300" s="2">
        <v>196.26</v>
      </c>
      <c r="I300" s="2">
        <v>-168048.65</v>
      </c>
      <c r="J300" s="2">
        <f t="shared" si="4"/>
        <v>196.26</v>
      </c>
    </row>
    <row r="301" spans="1:10" x14ac:dyDescent="0.2">
      <c r="A301" s="3">
        <v>300</v>
      </c>
      <c r="B301" t="s">
        <v>181</v>
      </c>
      <c r="C301" s="1">
        <v>244348</v>
      </c>
      <c r="D301" t="s">
        <v>371</v>
      </c>
      <c r="E301" t="s">
        <v>375</v>
      </c>
      <c r="F301" t="s">
        <v>396</v>
      </c>
      <c r="G301" s="2">
        <v>1962.62</v>
      </c>
      <c r="I301" s="2">
        <v>-166086.03</v>
      </c>
      <c r="J301" s="2">
        <f t="shared" si="4"/>
        <v>1962.62</v>
      </c>
    </row>
    <row r="302" spans="1:10" x14ac:dyDescent="0.2">
      <c r="A302" s="3">
        <v>301</v>
      </c>
      <c r="B302" t="s">
        <v>182</v>
      </c>
      <c r="C302" s="1">
        <v>244348</v>
      </c>
      <c r="D302" t="s">
        <v>371</v>
      </c>
      <c r="E302" t="s">
        <v>375</v>
      </c>
      <c r="F302" t="s">
        <v>397</v>
      </c>
      <c r="G302" s="2">
        <v>65.42</v>
      </c>
      <c r="I302" s="2">
        <v>-166020.60999999999</v>
      </c>
      <c r="J302" s="2">
        <f t="shared" si="4"/>
        <v>65.42</v>
      </c>
    </row>
    <row r="303" spans="1:10" x14ac:dyDescent="0.2">
      <c r="A303" s="3">
        <v>302</v>
      </c>
      <c r="B303" t="s">
        <v>293</v>
      </c>
      <c r="C303" s="1">
        <v>244348</v>
      </c>
      <c r="D303" t="s">
        <v>371</v>
      </c>
      <c r="E303" t="s">
        <v>375</v>
      </c>
      <c r="F303" t="s">
        <v>398</v>
      </c>
      <c r="G303" s="2">
        <v>327.10000000000002</v>
      </c>
      <c r="I303" s="2">
        <v>-165693.51</v>
      </c>
      <c r="J303" s="2">
        <f t="shared" si="4"/>
        <v>327.10000000000002</v>
      </c>
    </row>
    <row r="304" spans="1:10" x14ac:dyDescent="0.2">
      <c r="A304" s="3">
        <v>303</v>
      </c>
      <c r="B304" s="16" t="s">
        <v>188</v>
      </c>
      <c r="C304" s="1">
        <v>244348</v>
      </c>
      <c r="D304" t="s">
        <v>371</v>
      </c>
      <c r="E304" t="s">
        <v>375</v>
      </c>
      <c r="F304" t="s">
        <v>399</v>
      </c>
      <c r="G304" s="2">
        <v>196.26</v>
      </c>
      <c r="I304" s="2">
        <v>-165497.25</v>
      </c>
      <c r="J304" s="2">
        <f t="shared" si="4"/>
        <v>196.26</v>
      </c>
    </row>
    <row r="305" spans="1:10" x14ac:dyDescent="0.2">
      <c r="A305" s="3">
        <v>304</v>
      </c>
      <c r="B305" t="s">
        <v>189</v>
      </c>
      <c r="C305" s="1">
        <v>244348</v>
      </c>
      <c r="D305" t="s">
        <v>371</v>
      </c>
      <c r="E305" t="s">
        <v>375</v>
      </c>
      <c r="F305" t="s">
        <v>400</v>
      </c>
      <c r="G305" s="2">
        <v>196.26</v>
      </c>
      <c r="I305" s="2">
        <v>-165300.99</v>
      </c>
      <c r="J305" s="2">
        <f t="shared" si="4"/>
        <v>196.26</v>
      </c>
    </row>
    <row r="306" spans="1:10" x14ac:dyDescent="0.2">
      <c r="A306" s="3">
        <v>305</v>
      </c>
      <c r="B306" s="15" t="s">
        <v>190</v>
      </c>
      <c r="C306" s="1">
        <v>244348</v>
      </c>
      <c r="D306" t="s">
        <v>371</v>
      </c>
      <c r="E306" t="s">
        <v>375</v>
      </c>
      <c r="F306" t="s">
        <v>401</v>
      </c>
      <c r="G306" s="6">
        <v>654.21</v>
      </c>
      <c r="I306" s="2">
        <v>-164646.78</v>
      </c>
      <c r="J306" s="2">
        <f t="shared" si="4"/>
        <v>654.21</v>
      </c>
    </row>
    <row r="307" spans="1:10" x14ac:dyDescent="0.2">
      <c r="A307" s="3">
        <v>306</v>
      </c>
      <c r="B307" t="s">
        <v>191</v>
      </c>
      <c r="C307" s="1">
        <v>244348</v>
      </c>
      <c r="D307" t="s">
        <v>371</v>
      </c>
      <c r="E307" t="s">
        <v>375</v>
      </c>
      <c r="F307" t="s">
        <v>402</v>
      </c>
      <c r="G307" s="2">
        <v>65.42</v>
      </c>
      <c r="I307" s="2">
        <v>-164581.35999999999</v>
      </c>
      <c r="J307" s="2">
        <f t="shared" si="4"/>
        <v>65.42</v>
      </c>
    </row>
    <row r="308" spans="1:10" x14ac:dyDescent="0.2">
      <c r="A308" s="3">
        <v>307</v>
      </c>
      <c r="B308" t="s">
        <v>193</v>
      </c>
      <c r="C308" s="1">
        <v>244348</v>
      </c>
      <c r="D308" t="s">
        <v>371</v>
      </c>
      <c r="E308" t="s">
        <v>375</v>
      </c>
      <c r="F308" t="s">
        <v>397</v>
      </c>
      <c r="G308" s="2">
        <v>65.42</v>
      </c>
      <c r="I308" s="2">
        <v>-164515.94</v>
      </c>
      <c r="J308" s="2">
        <f t="shared" si="4"/>
        <v>65.42</v>
      </c>
    </row>
    <row r="309" spans="1:10" x14ac:dyDescent="0.2">
      <c r="A309" s="3">
        <v>308</v>
      </c>
      <c r="B309" t="s">
        <v>194</v>
      </c>
      <c r="C309" s="1">
        <v>244348</v>
      </c>
      <c r="D309" t="s">
        <v>371</v>
      </c>
      <c r="E309" t="s">
        <v>375</v>
      </c>
      <c r="F309" t="s">
        <v>403</v>
      </c>
      <c r="G309" s="2">
        <v>196.26</v>
      </c>
      <c r="I309" s="2">
        <v>-164319.67999999999</v>
      </c>
      <c r="J309" s="2">
        <f t="shared" si="4"/>
        <v>196.26</v>
      </c>
    </row>
    <row r="310" spans="1:10" x14ac:dyDescent="0.2">
      <c r="A310" s="3">
        <v>309</v>
      </c>
      <c r="B310" t="s">
        <v>195</v>
      </c>
      <c r="C310" s="1">
        <v>244348</v>
      </c>
      <c r="D310" t="s">
        <v>371</v>
      </c>
      <c r="E310" t="s">
        <v>375</v>
      </c>
      <c r="F310" t="s">
        <v>404</v>
      </c>
      <c r="G310" s="2">
        <v>327.10000000000002</v>
      </c>
      <c r="I310" s="2">
        <v>-163992.57999999999</v>
      </c>
      <c r="J310" s="2">
        <f t="shared" si="4"/>
        <v>327.10000000000002</v>
      </c>
    </row>
    <row r="311" spans="1:10" x14ac:dyDescent="0.2">
      <c r="A311" s="3">
        <v>310</v>
      </c>
      <c r="B311" t="s">
        <v>196</v>
      </c>
      <c r="C311" s="1">
        <v>244348</v>
      </c>
      <c r="D311" t="s">
        <v>371</v>
      </c>
      <c r="E311" t="s">
        <v>375</v>
      </c>
      <c r="F311" t="s">
        <v>405</v>
      </c>
      <c r="G311" s="2">
        <v>196.26</v>
      </c>
      <c r="I311" s="2">
        <v>-163796.32</v>
      </c>
      <c r="J311" s="2">
        <f t="shared" si="4"/>
        <v>196.26</v>
      </c>
    </row>
    <row r="312" spans="1:10" x14ac:dyDescent="0.2">
      <c r="A312" s="3">
        <v>311</v>
      </c>
      <c r="B312" t="s">
        <v>197</v>
      </c>
      <c r="C312" s="1">
        <v>244348</v>
      </c>
      <c r="D312" t="s">
        <v>371</v>
      </c>
      <c r="E312" t="s">
        <v>375</v>
      </c>
      <c r="F312" t="s">
        <v>406</v>
      </c>
      <c r="G312" s="2">
        <v>647.66</v>
      </c>
      <c r="I312" s="2">
        <v>-163148.66</v>
      </c>
      <c r="J312" s="2">
        <f t="shared" si="4"/>
        <v>647.66</v>
      </c>
    </row>
    <row r="313" spans="1:10" x14ac:dyDescent="0.2">
      <c r="A313" s="3">
        <v>312</v>
      </c>
      <c r="B313" s="16" t="s">
        <v>198</v>
      </c>
      <c r="C313" s="1">
        <v>244348</v>
      </c>
      <c r="D313" t="s">
        <v>371</v>
      </c>
      <c r="E313" t="s">
        <v>375</v>
      </c>
      <c r="F313" t="s">
        <v>407</v>
      </c>
      <c r="G313" s="2">
        <v>228.97</v>
      </c>
      <c r="I313" s="2">
        <v>-162919.69</v>
      </c>
      <c r="J313" s="2">
        <f t="shared" si="4"/>
        <v>228.97</v>
      </c>
    </row>
    <row r="314" spans="1:10" x14ac:dyDescent="0.2">
      <c r="A314" s="3">
        <v>313</v>
      </c>
      <c r="B314" t="s">
        <v>199</v>
      </c>
      <c r="C314" s="1">
        <v>244348</v>
      </c>
      <c r="D314" t="s">
        <v>371</v>
      </c>
      <c r="E314" t="s">
        <v>375</v>
      </c>
      <c r="F314" t="s">
        <v>408</v>
      </c>
      <c r="G314" s="2">
        <v>196.26</v>
      </c>
      <c r="I314" s="2">
        <v>-162723.43</v>
      </c>
      <c r="J314" s="2">
        <f t="shared" si="4"/>
        <v>196.26</v>
      </c>
    </row>
    <row r="315" spans="1:10" x14ac:dyDescent="0.2">
      <c r="A315" s="3">
        <v>314</v>
      </c>
      <c r="B315" t="s">
        <v>346</v>
      </c>
      <c r="C315" s="1">
        <v>244348</v>
      </c>
      <c r="D315" t="s">
        <v>371</v>
      </c>
      <c r="E315" t="s">
        <v>375</v>
      </c>
      <c r="F315" t="s">
        <v>409</v>
      </c>
      <c r="G315" s="2">
        <v>327.10000000000002</v>
      </c>
      <c r="I315" s="2">
        <v>-162396.32999999999</v>
      </c>
      <c r="J315" s="2">
        <f t="shared" si="4"/>
        <v>327.10000000000002</v>
      </c>
    </row>
    <row r="316" spans="1:10" x14ac:dyDescent="0.2">
      <c r="A316" s="3">
        <v>315</v>
      </c>
      <c r="B316" t="s">
        <v>204</v>
      </c>
      <c r="C316" s="1">
        <v>244348</v>
      </c>
      <c r="D316" t="s">
        <v>371</v>
      </c>
      <c r="E316" t="s">
        <v>375</v>
      </c>
      <c r="F316" t="s">
        <v>410</v>
      </c>
      <c r="G316" s="2">
        <v>130.84</v>
      </c>
      <c r="I316" s="2">
        <v>-162265.49</v>
      </c>
      <c r="J316" s="2">
        <f t="shared" si="4"/>
        <v>130.84</v>
      </c>
    </row>
    <row r="317" spans="1:10" x14ac:dyDescent="0.2">
      <c r="A317" s="3">
        <v>316</v>
      </c>
      <c r="B317" t="s">
        <v>205</v>
      </c>
      <c r="C317" s="1">
        <v>244348</v>
      </c>
      <c r="D317" t="s">
        <v>371</v>
      </c>
      <c r="E317" t="s">
        <v>375</v>
      </c>
      <c r="F317" t="s">
        <v>411</v>
      </c>
      <c r="G317" s="2">
        <v>654.21</v>
      </c>
      <c r="I317" s="2">
        <v>-161611.28</v>
      </c>
      <c r="J317" s="2">
        <f t="shared" si="4"/>
        <v>654.21</v>
      </c>
    </row>
    <row r="318" spans="1:10" x14ac:dyDescent="0.2">
      <c r="A318" s="3">
        <v>317</v>
      </c>
      <c r="B318" t="s">
        <v>206</v>
      </c>
      <c r="C318" s="1">
        <v>244348</v>
      </c>
      <c r="D318" t="s">
        <v>371</v>
      </c>
      <c r="E318" t="s">
        <v>375</v>
      </c>
      <c r="F318" t="s">
        <v>412</v>
      </c>
      <c r="G318" s="2">
        <v>1962.62</v>
      </c>
      <c r="I318" s="2">
        <v>-159648.66</v>
      </c>
      <c r="J318" s="2">
        <f t="shared" si="4"/>
        <v>1962.62</v>
      </c>
    </row>
    <row r="319" spans="1:10" x14ac:dyDescent="0.2">
      <c r="A319" s="3">
        <v>318</v>
      </c>
      <c r="B319" t="s">
        <v>207</v>
      </c>
      <c r="C319" s="1">
        <v>244348</v>
      </c>
      <c r="D319" t="s">
        <v>371</v>
      </c>
      <c r="E319" t="s">
        <v>375</v>
      </c>
      <c r="F319" t="s">
        <v>413</v>
      </c>
      <c r="G319" s="2">
        <v>196.26</v>
      </c>
      <c r="I319" s="2">
        <v>-159452.4</v>
      </c>
      <c r="J319" s="2">
        <f t="shared" si="4"/>
        <v>196.26</v>
      </c>
    </row>
    <row r="320" spans="1:10" x14ac:dyDescent="0.2">
      <c r="A320" s="3">
        <v>319</v>
      </c>
      <c r="B320" t="s">
        <v>208</v>
      </c>
      <c r="C320" s="1">
        <v>244348</v>
      </c>
      <c r="D320" t="s">
        <v>371</v>
      </c>
      <c r="E320" t="s">
        <v>375</v>
      </c>
      <c r="F320" t="s">
        <v>414</v>
      </c>
      <c r="G320" s="2">
        <v>327.10000000000002</v>
      </c>
      <c r="I320" s="2">
        <v>-159125.29999999999</v>
      </c>
      <c r="J320" s="2">
        <f t="shared" si="4"/>
        <v>327.10000000000002</v>
      </c>
    </row>
    <row r="321" spans="1:10" x14ac:dyDescent="0.2">
      <c r="A321" s="3">
        <v>320</v>
      </c>
      <c r="B321" s="15" t="s">
        <v>190</v>
      </c>
      <c r="C321" s="1">
        <v>244348</v>
      </c>
      <c r="D321" t="s">
        <v>371</v>
      </c>
      <c r="E321" t="s">
        <v>375</v>
      </c>
      <c r="F321" t="s">
        <v>401</v>
      </c>
      <c r="G321" s="6">
        <v>228.97</v>
      </c>
      <c r="I321" s="2">
        <v>-158896.32999999999</v>
      </c>
      <c r="J321" s="2">
        <f t="shared" ref="J321:J384" si="5">G321-H321</f>
        <v>228.97</v>
      </c>
    </row>
    <row r="322" spans="1:10" x14ac:dyDescent="0.2">
      <c r="A322" s="3">
        <v>321</v>
      </c>
      <c r="B322" t="s">
        <v>216</v>
      </c>
      <c r="C322" s="1">
        <v>244348</v>
      </c>
      <c r="D322" t="s">
        <v>371</v>
      </c>
      <c r="E322" t="s">
        <v>375</v>
      </c>
      <c r="F322" t="s">
        <v>415</v>
      </c>
      <c r="G322" s="2">
        <v>196.26</v>
      </c>
      <c r="I322" s="2">
        <v>-158700.07</v>
      </c>
      <c r="J322" s="2">
        <f t="shared" si="5"/>
        <v>196.26</v>
      </c>
    </row>
    <row r="323" spans="1:10" x14ac:dyDescent="0.2">
      <c r="A323" s="3">
        <v>322</v>
      </c>
      <c r="B323" t="s">
        <v>217</v>
      </c>
      <c r="C323" s="1">
        <v>244348</v>
      </c>
      <c r="D323" t="s">
        <v>371</v>
      </c>
      <c r="E323" t="s">
        <v>375</v>
      </c>
      <c r="F323" t="s">
        <v>416</v>
      </c>
      <c r="G323" s="2">
        <v>65.42</v>
      </c>
      <c r="I323" s="2">
        <v>-158634.65</v>
      </c>
      <c r="J323" s="2">
        <f t="shared" si="5"/>
        <v>65.42</v>
      </c>
    </row>
    <row r="324" spans="1:10" x14ac:dyDescent="0.2">
      <c r="A324" s="3">
        <v>323</v>
      </c>
      <c r="B324" t="s">
        <v>218</v>
      </c>
      <c r="C324" s="1">
        <v>244348</v>
      </c>
      <c r="D324" t="s">
        <v>371</v>
      </c>
      <c r="E324" t="s">
        <v>375</v>
      </c>
      <c r="F324" t="s">
        <v>417</v>
      </c>
      <c r="G324" s="2">
        <v>196.26</v>
      </c>
      <c r="I324" s="2">
        <v>-158438.39000000001</v>
      </c>
      <c r="J324" s="2">
        <f t="shared" si="5"/>
        <v>196.26</v>
      </c>
    </row>
    <row r="325" spans="1:10" x14ac:dyDescent="0.2">
      <c r="A325" s="3">
        <v>324</v>
      </c>
      <c r="B325" t="s">
        <v>219</v>
      </c>
      <c r="C325" s="1">
        <v>244348</v>
      </c>
      <c r="D325" t="s">
        <v>371</v>
      </c>
      <c r="E325" t="s">
        <v>375</v>
      </c>
      <c r="F325" t="s">
        <v>418</v>
      </c>
      <c r="G325" s="2">
        <v>196.26</v>
      </c>
      <c r="I325" s="2">
        <v>-158242.13</v>
      </c>
      <c r="J325" s="2">
        <f t="shared" si="5"/>
        <v>196.26</v>
      </c>
    </row>
    <row r="326" spans="1:10" x14ac:dyDescent="0.2">
      <c r="A326" s="3">
        <v>325</v>
      </c>
      <c r="B326" t="s">
        <v>221</v>
      </c>
      <c r="C326" s="1">
        <v>244348</v>
      </c>
      <c r="D326" t="s">
        <v>371</v>
      </c>
      <c r="E326" t="s">
        <v>375</v>
      </c>
      <c r="F326" t="s">
        <v>419</v>
      </c>
      <c r="G326" s="2">
        <v>196.26</v>
      </c>
      <c r="I326" s="2">
        <v>-158045.87</v>
      </c>
      <c r="J326" s="2">
        <f t="shared" si="5"/>
        <v>196.26</v>
      </c>
    </row>
    <row r="327" spans="1:10" x14ac:dyDescent="0.2">
      <c r="A327" s="3">
        <v>326</v>
      </c>
      <c r="B327" t="s">
        <v>222</v>
      </c>
      <c r="C327" s="1">
        <v>244348</v>
      </c>
      <c r="D327" t="s">
        <v>371</v>
      </c>
      <c r="E327" t="s">
        <v>375</v>
      </c>
      <c r="F327" t="s">
        <v>420</v>
      </c>
      <c r="G327" s="2">
        <v>196.26</v>
      </c>
      <c r="I327" s="2">
        <v>-157849.60999999999</v>
      </c>
      <c r="J327" s="2">
        <f t="shared" si="5"/>
        <v>196.26</v>
      </c>
    </row>
    <row r="328" spans="1:10" x14ac:dyDescent="0.2">
      <c r="A328" s="3">
        <v>327</v>
      </c>
      <c r="B328" t="s">
        <v>230</v>
      </c>
      <c r="C328" s="1">
        <v>244348</v>
      </c>
      <c r="D328" t="s">
        <v>371</v>
      </c>
      <c r="E328" t="s">
        <v>375</v>
      </c>
      <c r="F328" t="s">
        <v>421</v>
      </c>
      <c r="G328" s="2">
        <v>196.26</v>
      </c>
      <c r="I328" s="2">
        <v>-157653.35</v>
      </c>
      <c r="J328" s="2">
        <f t="shared" si="5"/>
        <v>196.26</v>
      </c>
    </row>
    <row r="329" spans="1:10" x14ac:dyDescent="0.2">
      <c r="A329" s="3">
        <v>328</v>
      </c>
      <c r="B329" t="s">
        <v>246</v>
      </c>
      <c r="C329" s="1">
        <v>244348</v>
      </c>
      <c r="D329" t="s">
        <v>371</v>
      </c>
      <c r="E329" t="s">
        <v>375</v>
      </c>
      <c r="F329" t="s">
        <v>422</v>
      </c>
      <c r="G329" s="2">
        <v>654.21</v>
      </c>
      <c r="I329" s="2">
        <v>-156999.14000000001</v>
      </c>
      <c r="J329" s="2">
        <f t="shared" si="5"/>
        <v>654.21</v>
      </c>
    </row>
    <row r="330" spans="1:10" x14ac:dyDescent="0.2">
      <c r="A330" s="3">
        <v>329</v>
      </c>
      <c r="B330" t="s">
        <v>247</v>
      </c>
      <c r="C330" s="1">
        <v>244348</v>
      </c>
      <c r="D330" t="s">
        <v>371</v>
      </c>
      <c r="E330" t="s">
        <v>375</v>
      </c>
      <c r="F330" t="s">
        <v>423</v>
      </c>
      <c r="G330" s="2">
        <v>2158.88</v>
      </c>
      <c r="I330" s="2">
        <v>-154840.26</v>
      </c>
      <c r="J330" s="2">
        <f t="shared" si="5"/>
        <v>2158.88</v>
      </c>
    </row>
    <row r="331" spans="1:10" x14ac:dyDescent="0.2">
      <c r="A331" s="3">
        <v>330</v>
      </c>
      <c r="B331" t="s">
        <v>248</v>
      </c>
      <c r="C331" s="1">
        <v>244348</v>
      </c>
      <c r="D331" t="s">
        <v>371</v>
      </c>
      <c r="E331" t="s">
        <v>375</v>
      </c>
      <c r="F331" t="s">
        <v>424</v>
      </c>
      <c r="G331" s="2">
        <v>850.47</v>
      </c>
      <c r="I331" s="2">
        <v>-153989.79</v>
      </c>
      <c r="J331" s="2">
        <f t="shared" si="5"/>
        <v>850.47</v>
      </c>
    </row>
    <row r="332" spans="1:10" x14ac:dyDescent="0.2">
      <c r="A332" s="3">
        <v>331</v>
      </c>
      <c r="B332" t="s">
        <v>249</v>
      </c>
      <c r="C332" s="1">
        <v>244348</v>
      </c>
      <c r="D332" t="s">
        <v>371</v>
      </c>
      <c r="E332" t="s">
        <v>375</v>
      </c>
      <c r="F332" t="s">
        <v>425</v>
      </c>
      <c r="G332" s="2">
        <v>196.26</v>
      </c>
      <c r="I332" s="2">
        <v>-153793.53</v>
      </c>
      <c r="J332" s="2">
        <f t="shared" si="5"/>
        <v>196.26</v>
      </c>
    </row>
    <row r="333" spans="1:10" x14ac:dyDescent="0.2">
      <c r="A333" s="3">
        <v>332</v>
      </c>
      <c r="B333" t="s">
        <v>250</v>
      </c>
      <c r="C333" s="1">
        <v>244348</v>
      </c>
      <c r="D333" t="s">
        <v>371</v>
      </c>
      <c r="E333" t="s">
        <v>375</v>
      </c>
      <c r="F333" t="s">
        <v>426</v>
      </c>
      <c r="G333" s="2">
        <v>327.10000000000002</v>
      </c>
      <c r="I333" s="2">
        <v>-153466.43</v>
      </c>
      <c r="J333" s="2">
        <f t="shared" si="5"/>
        <v>327.10000000000002</v>
      </c>
    </row>
    <row r="334" spans="1:10" x14ac:dyDescent="0.2">
      <c r="A334" s="3">
        <v>333</v>
      </c>
      <c r="B334" t="s">
        <v>251</v>
      </c>
      <c r="C334" s="1">
        <v>244348</v>
      </c>
      <c r="D334" t="s">
        <v>371</v>
      </c>
      <c r="E334" t="s">
        <v>375</v>
      </c>
      <c r="F334" t="s">
        <v>427</v>
      </c>
      <c r="G334" s="2">
        <v>196.26</v>
      </c>
      <c r="I334" s="2">
        <v>-153270.17000000001</v>
      </c>
      <c r="J334" s="2">
        <f t="shared" si="5"/>
        <v>196.26</v>
      </c>
    </row>
    <row r="335" spans="1:10" x14ac:dyDescent="0.2">
      <c r="A335" s="3">
        <v>334</v>
      </c>
      <c r="B335" s="16" t="s">
        <v>272</v>
      </c>
      <c r="C335" s="1">
        <v>244348</v>
      </c>
      <c r="D335" t="s">
        <v>371</v>
      </c>
      <c r="E335" t="s">
        <v>375</v>
      </c>
      <c r="F335" t="s">
        <v>428</v>
      </c>
      <c r="G335" s="2">
        <v>65.42</v>
      </c>
      <c r="I335" s="2">
        <v>-153204.75</v>
      </c>
      <c r="J335" s="2">
        <f t="shared" si="5"/>
        <v>65.42</v>
      </c>
    </row>
    <row r="336" spans="1:10" x14ac:dyDescent="0.2">
      <c r="A336" s="3">
        <v>335</v>
      </c>
      <c r="B336" t="s">
        <v>273</v>
      </c>
      <c r="C336" s="1">
        <v>244348</v>
      </c>
      <c r="D336" t="s">
        <v>371</v>
      </c>
      <c r="E336" t="s">
        <v>375</v>
      </c>
      <c r="F336" t="s">
        <v>429</v>
      </c>
      <c r="G336" s="2">
        <v>196.26</v>
      </c>
      <c r="I336" s="2">
        <v>-153008.49</v>
      </c>
      <c r="J336" s="2">
        <f t="shared" si="5"/>
        <v>196.26</v>
      </c>
    </row>
    <row r="337" spans="1:10" x14ac:dyDescent="0.2">
      <c r="A337" s="3">
        <v>336</v>
      </c>
      <c r="B337" t="s">
        <v>274</v>
      </c>
      <c r="C337" s="1">
        <v>244348</v>
      </c>
      <c r="D337" t="s">
        <v>371</v>
      </c>
      <c r="E337" t="s">
        <v>375</v>
      </c>
      <c r="F337" t="s">
        <v>430</v>
      </c>
      <c r="G337" s="2">
        <v>654.21</v>
      </c>
      <c r="I337" s="2">
        <v>-152354.28</v>
      </c>
      <c r="J337" s="2">
        <f t="shared" si="5"/>
        <v>654.21</v>
      </c>
    </row>
    <row r="338" spans="1:10" x14ac:dyDescent="0.2">
      <c r="A338" s="3">
        <v>337</v>
      </c>
      <c r="B338" t="s">
        <v>275</v>
      </c>
      <c r="C338" s="1">
        <v>244348</v>
      </c>
      <c r="D338" t="s">
        <v>371</v>
      </c>
      <c r="E338" t="s">
        <v>375</v>
      </c>
      <c r="F338" t="s">
        <v>431</v>
      </c>
      <c r="G338" s="2">
        <v>65.42</v>
      </c>
      <c r="I338" s="2">
        <v>-152288.85999999999</v>
      </c>
      <c r="J338" s="2">
        <f t="shared" si="5"/>
        <v>65.42</v>
      </c>
    </row>
    <row r="339" spans="1:10" x14ac:dyDescent="0.2">
      <c r="A339" s="3">
        <v>338</v>
      </c>
      <c r="B339" t="s">
        <v>276</v>
      </c>
      <c r="C339" s="1">
        <v>244348</v>
      </c>
      <c r="D339" t="s">
        <v>371</v>
      </c>
      <c r="E339" t="s">
        <v>375</v>
      </c>
      <c r="F339" t="s">
        <v>432</v>
      </c>
      <c r="G339" s="2">
        <v>196.26</v>
      </c>
      <c r="I339" s="2">
        <v>-152092.6</v>
      </c>
      <c r="J339" s="2">
        <f t="shared" si="5"/>
        <v>196.26</v>
      </c>
    </row>
    <row r="340" spans="1:10" x14ac:dyDescent="0.2">
      <c r="A340" s="3">
        <v>339</v>
      </c>
      <c r="B340" t="s">
        <v>277</v>
      </c>
      <c r="C340" s="1">
        <v>244348</v>
      </c>
      <c r="D340" t="s">
        <v>371</v>
      </c>
      <c r="E340" t="s">
        <v>375</v>
      </c>
      <c r="F340" t="s">
        <v>433</v>
      </c>
      <c r="G340" s="2">
        <v>65.42</v>
      </c>
      <c r="I340" s="2">
        <v>-152027.18</v>
      </c>
      <c r="J340" s="2">
        <f t="shared" si="5"/>
        <v>65.42</v>
      </c>
    </row>
    <row r="341" spans="1:10" x14ac:dyDescent="0.2">
      <c r="A341" s="3">
        <v>340</v>
      </c>
      <c r="B341" t="s">
        <v>131</v>
      </c>
      <c r="C341" s="1">
        <v>244348</v>
      </c>
      <c r="D341" t="s">
        <v>371</v>
      </c>
      <c r="E341" t="s">
        <v>375</v>
      </c>
      <c r="F341" t="s">
        <v>434</v>
      </c>
      <c r="G341" s="2">
        <v>196.26</v>
      </c>
      <c r="I341" s="2">
        <v>-151830.92000000001</v>
      </c>
      <c r="J341" s="2">
        <f t="shared" si="5"/>
        <v>196.26</v>
      </c>
    </row>
    <row r="342" spans="1:10" x14ac:dyDescent="0.2">
      <c r="A342" s="3">
        <v>341</v>
      </c>
      <c r="B342" t="s">
        <v>279</v>
      </c>
      <c r="C342" s="1">
        <v>244348</v>
      </c>
      <c r="D342" t="s">
        <v>371</v>
      </c>
      <c r="E342" t="s">
        <v>375</v>
      </c>
      <c r="F342" t="s">
        <v>435</v>
      </c>
      <c r="G342" s="2">
        <v>327.10000000000002</v>
      </c>
      <c r="I342" s="2">
        <v>-151503.82</v>
      </c>
      <c r="J342" s="2">
        <f t="shared" si="5"/>
        <v>327.10000000000002</v>
      </c>
    </row>
    <row r="343" spans="1:10" x14ac:dyDescent="0.2">
      <c r="A343" s="3">
        <v>342</v>
      </c>
      <c r="B343" t="s">
        <v>295</v>
      </c>
      <c r="C343" s="1">
        <v>244348</v>
      </c>
      <c r="D343" t="s">
        <v>371</v>
      </c>
      <c r="E343" t="s">
        <v>375</v>
      </c>
      <c r="F343" t="s">
        <v>436</v>
      </c>
      <c r="G343" s="2">
        <v>196.26</v>
      </c>
      <c r="I343" s="2">
        <v>-151307.56</v>
      </c>
      <c r="J343" s="2">
        <f t="shared" si="5"/>
        <v>196.26</v>
      </c>
    </row>
    <row r="344" spans="1:10" x14ac:dyDescent="0.2">
      <c r="A344" s="3">
        <v>343</v>
      </c>
      <c r="B344" t="s">
        <v>125</v>
      </c>
      <c r="C344" s="1">
        <v>244348</v>
      </c>
      <c r="D344" t="s">
        <v>371</v>
      </c>
      <c r="E344" t="s">
        <v>375</v>
      </c>
      <c r="F344" t="s">
        <v>437</v>
      </c>
      <c r="G344" s="2">
        <v>196.26</v>
      </c>
      <c r="I344" s="2">
        <v>-151111.29999999999</v>
      </c>
      <c r="J344" s="2">
        <f t="shared" si="5"/>
        <v>196.26</v>
      </c>
    </row>
    <row r="345" spans="1:10" x14ac:dyDescent="0.2">
      <c r="A345" s="3">
        <v>344</v>
      </c>
      <c r="B345" t="s">
        <v>305</v>
      </c>
      <c r="C345" s="1">
        <v>244348</v>
      </c>
      <c r="D345" t="s">
        <v>371</v>
      </c>
      <c r="E345" t="s">
        <v>375</v>
      </c>
      <c r="F345" t="s">
        <v>438</v>
      </c>
      <c r="G345" s="2">
        <v>327.10000000000002</v>
      </c>
      <c r="I345" s="2">
        <v>-150784.20000000001</v>
      </c>
      <c r="J345" s="2">
        <f t="shared" si="5"/>
        <v>327.10000000000002</v>
      </c>
    </row>
    <row r="346" spans="1:10" x14ac:dyDescent="0.2">
      <c r="A346" s="3">
        <v>345</v>
      </c>
      <c r="B346" t="s">
        <v>306</v>
      </c>
      <c r="C346" s="1">
        <v>244348</v>
      </c>
      <c r="D346" t="s">
        <v>371</v>
      </c>
      <c r="E346" t="s">
        <v>375</v>
      </c>
      <c r="F346" t="s">
        <v>439</v>
      </c>
      <c r="G346" s="2">
        <v>196.26</v>
      </c>
      <c r="I346" s="2">
        <v>-150587.94</v>
      </c>
      <c r="J346" s="2">
        <f t="shared" si="5"/>
        <v>196.26</v>
      </c>
    </row>
    <row r="347" spans="1:10" x14ac:dyDescent="0.2">
      <c r="A347" s="3">
        <v>346</v>
      </c>
      <c r="B347" t="s">
        <v>307</v>
      </c>
      <c r="C347" s="1">
        <v>244348</v>
      </c>
      <c r="D347" t="s">
        <v>371</v>
      </c>
      <c r="E347" t="s">
        <v>375</v>
      </c>
      <c r="F347" t="s">
        <v>440</v>
      </c>
      <c r="G347" s="2">
        <v>65.42</v>
      </c>
      <c r="I347" s="2">
        <v>-150522.51999999999</v>
      </c>
      <c r="J347" s="2">
        <f t="shared" si="5"/>
        <v>65.42</v>
      </c>
    </row>
    <row r="348" spans="1:10" x14ac:dyDescent="0.2">
      <c r="A348" s="3">
        <v>347</v>
      </c>
      <c r="B348" t="s">
        <v>308</v>
      </c>
      <c r="C348" s="1">
        <v>244348</v>
      </c>
      <c r="D348" t="s">
        <v>371</v>
      </c>
      <c r="E348" t="s">
        <v>375</v>
      </c>
      <c r="F348" t="s">
        <v>441</v>
      </c>
      <c r="G348" s="2">
        <v>196.26</v>
      </c>
      <c r="I348" s="2">
        <v>-150326.26</v>
      </c>
      <c r="J348" s="2">
        <f t="shared" si="5"/>
        <v>196.26</v>
      </c>
    </row>
    <row r="349" spans="1:10" x14ac:dyDescent="0.2">
      <c r="A349" s="3">
        <v>348</v>
      </c>
      <c r="B349" t="s">
        <v>309</v>
      </c>
      <c r="C349" s="1">
        <v>244348</v>
      </c>
      <c r="D349" t="s">
        <v>371</v>
      </c>
      <c r="E349" t="s">
        <v>375</v>
      </c>
      <c r="F349" t="s">
        <v>442</v>
      </c>
      <c r="G349" s="2">
        <v>65.42</v>
      </c>
      <c r="I349" s="2">
        <v>-150260.84</v>
      </c>
      <c r="J349" s="2">
        <f t="shared" si="5"/>
        <v>65.42</v>
      </c>
    </row>
    <row r="350" spans="1:10" x14ac:dyDescent="0.2">
      <c r="A350" s="3">
        <v>349</v>
      </c>
      <c r="B350" t="s">
        <v>310</v>
      </c>
      <c r="C350" s="1">
        <v>244348</v>
      </c>
      <c r="D350" t="s">
        <v>371</v>
      </c>
      <c r="E350" t="s">
        <v>375</v>
      </c>
      <c r="F350" t="s">
        <v>443</v>
      </c>
      <c r="G350" s="2">
        <v>65.42</v>
      </c>
      <c r="I350" s="2">
        <v>-150195.42000000001</v>
      </c>
      <c r="J350" s="2">
        <f t="shared" si="5"/>
        <v>65.42</v>
      </c>
    </row>
    <row r="351" spans="1:10" x14ac:dyDescent="0.2">
      <c r="A351" s="3">
        <v>350</v>
      </c>
      <c r="B351" t="s">
        <v>311</v>
      </c>
      <c r="C351" s="1">
        <v>244348</v>
      </c>
      <c r="D351" t="s">
        <v>371</v>
      </c>
      <c r="E351" t="s">
        <v>375</v>
      </c>
      <c r="F351" t="s">
        <v>444</v>
      </c>
      <c r="G351" s="2">
        <v>130.84</v>
      </c>
      <c r="I351" s="2">
        <v>-150064.57999999999</v>
      </c>
      <c r="J351" s="2">
        <f t="shared" si="5"/>
        <v>130.84</v>
      </c>
    </row>
    <row r="352" spans="1:10" x14ac:dyDescent="0.2">
      <c r="A352" s="3">
        <v>351</v>
      </c>
      <c r="B352" s="16" t="s">
        <v>312</v>
      </c>
      <c r="C352" s="1">
        <v>244348</v>
      </c>
      <c r="D352" t="s">
        <v>371</v>
      </c>
      <c r="E352" t="s">
        <v>375</v>
      </c>
      <c r="F352" t="s">
        <v>445</v>
      </c>
      <c r="G352" s="2">
        <v>196.26</v>
      </c>
      <c r="I352" s="2">
        <v>-149868.32</v>
      </c>
      <c r="J352" s="2">
        <f t="shared" si="5"/>
        <v>196.26</v>
      </c>
    </row>
    <row r="353" spans="1:10" x14ac:dyDescent="0.2">
      <c r="A353" s="3">
        <v>352</v>
      </c>
      <c r="B353" s="16" t="s">
        <v>313</v>
      </c>
      <c r="C353" s="1">
        <v>244348</v>
      </c>
      <c r="D353" t="s">
        <v>371</v>
      </c>
      <c r="E353" t="s">
        <v>375</v>
      </c>
      <c r="F353" t="s">
        <v>446</v>
      </c>
      <c r="G353" s="2">
        <v>130.84</v>
      </c>
      <c r="I353" s="2">
        <v>-149737.48000000001</v>
      </c>
      <c r="J353" s="2">
        <f t="shared" si="5"/>
        <v>130.84</v>
      </c>
    </row>
    <row r="354" spans="1:10" x14ac:dyDescent="0.2">
      <c r="A354" s="3">
        <v>353</v>
      </c>
      <c r="B354" s="16" t="s">
        <v>314</v>
      </c>
      <c r="C354" s="1">
        <v>244348</v>
      </c>
      <c r="D354" t="s">
        <v>371</v>
      </c>
      <c r="E354" t="s">
        <v>375</v>
      </c>
      <c r="F354" t="s">
        <v>447</v>
      </c>
      <c r="G354" s="2">
        <v>65.42</v>
      </c>
      <c r="I354" s="2">
        <v>-149672.06</v>
      </c>
      <c r="J354" s="2">
        <f t="shared" si="5"/>
        <v>65.42</v>
      </c>
    </row>
    <row r="355" spans="1:10" x14ac:dyDescent="0.2">
      <c r="A355" s="3">
        <v>354</v>
      </c>
      <c r="B355" t="s">
        <v>315</v>
      </c>
      <c r="C355" s="1">
        <v>244348</v>
      </c>
      <c r="D355" t="s">
        <v>371</v>
      </c>
      <c r="E355" t="s">
        <v>375</v>
      </c>
      <c r="F355" t="s">
        <v>448</v>
      </c>
      <c r="G355" s="2">
        <v>196.26</v>
      </c>
      <c r="I355" s="2">
        <v>-149475.79999999999</v>
      </c>
      <c r="J355" s="2">
        <f t="shared" si="5"/>
        <v>196.26</v>
      </c>
    </row>
    <row r="356" spans="1:10" x14ac:dyDescent="0.2">
      <c r="A356" s="3">
        <v>355</v>
      </c>
      <c r="B356" s="16" t="s">
        <v>316</v>
      </c>
      <c r="C356" s="1">
        <v>244348</v>
      </c>
      <c r="D356" t="s">
        <v>371</v>
      </c>
      <c r="E356" t="s">
        <v>375</v>
      </c>
      <c r="F356" t="s">
        <v>449</v>
      </c>
      <c r="G356" s="2">
        <v>196.26</v>
      </c>
      <c r="I356" s="2">
        <v>-149279.54</v>
      </c>
      <c r="J356" s="2">
        <f t="shared" si="5"/>
        <v>196.26</v>
      </c>
    </row>
    <row r="357" spans="1:10" x14ac:dyDescent="0.2">
      <c r="A357" s="3">
        <v>356</v>
      </c>
      <c r="B357" t="s">
        <v>317</v>
      </c>
      <c r="C357" s="1">
        <v>244348</v>
      </c>
      <c r="D357" t="s">
        <v>371</v>
      </c>
      <c r="E357" t="s">
        <v>375</v>
      </c>
      <c r="F357" t="s">
        <v>450</v>
      </c>
      <c r="G357" s="2">
        <v>654.21</v>
      </c>
      <c r="I357" s="2">
        <v>-148625.32999999999</v>
      </c>
      <c r="J357" s="2">
        <f t="shared" si="5"/>
        <v>654.21</v>
      </c>
    </row>
    <row r="358" spans="1:10" x14ac:dyDescent="0.2">
      <c r="A358" s="3">
        <v>357</v>
      </c>
      <c r="B358" t="s">
        <v>318</v>
      </c>
      <c r="C358" s="1">
        <v>244348</v>
      </c>
      <c r="D358" t="s">
        <v>371</v>
      </c>
      <c r="E358" t="s">
        <v>375</v>
      </c>
      <c r="F358" t="s">
        <v>451</v>
      </c>
      <c r="G358" s="2">
        <v>196.26</v>
      </c>
      <c r="I358" s="2">
        <v>-148429.07</v>
      </c>
      <c r="J358" s="2">
        <f t="shared" si="5"/>
        <v>196.26</v>
      </c>
    </row>
    <row r="359" spans="1:10" x14ac:dyDescent="0.2">
      <c r="A359" s="3">
        <v>358</v>
      </c>
      <c r="B359" t="s">
        <v>324</v>
      </c>
      <c r="C359" s="1">
        <v>244348</v>
      </c>
      <c r="D359" t="s">
        <v>371</v>
      </c>
      <c r="E359" t="s">
        <v>375</v>
      </c>
      <c r="F359" t="s">
        <v>452</v>
      </c>
      <c r="G359" s="2">
        <v>196.26</v>
      </c>
      <c r="I359" s="2">
        <v>-148232.81</v>
      </c>
      <c r="J359" s="2">
        <f t="shared" si="5"/>
        <v>196.26</v>
      </c>
    </row>
    <row r="360" spans="1:10" x14ac:dyDescent="0.2">
      <c r="A360" s="3">
        <v>359</v>
      </c>
      <c r="B360" s="16" t="s">
        <v>325</v>
      </c>
      <c r="C360" s="1">
        <v>244348</v>
      </c>
      <c r="D360" t="s">
        <v>371</v>
      </c>
      <c r="E360" t="s">
        <v>375</v>
      </c>
      <c r="F360" t="s">
        <v>453</v>
      </c>
      <c r="G360" s="2">
        <v>130.84</v>
      </c>
      <c r="I360" s="2">
        <v>-148101.97</v>
      </c>
      <c r="J360" s="2">
        <f t="shared" si="5"/>
        <v>130.84</v>
      </c>
    </row>
    <row r="361" spans="1:10" x14ac:dyDescent="0.2">
      <c r="A361" s="3">
        <v>360</v>
      </c>
      <c r="B361" t="s">
        <v>326</v>
      </c>
      <c r="C361" s="1">
        <v>244348</v>
      </c>
      <c r="D361" t="s">
        <v>371</v>
      </c>
      <c r="E361" t="s">
        <v>375</v>
      </c>
      <c r="F361" t="s">
        <v>454</v>
      </c>
      <c r="G361" s="2">
        <v>327.10000000000002</v>
      </c>
      <c r="I361" s="2">
        <v>-147774.87</v>
      </c>
      <c r="J361" s="2">
        <f t="shared" si="5"/>
        <v>327.10000000000002</v>
      </c>
    </row>
    <row r="362" spans="1:10" x14ac:dyDescent="0.2">
      <c r="A362" s="3">
        <v>361</v>
      </c>
      <c r="B362" t="s">
        <v>327</v>
      </c>
      <c r="C362" s="1">
        <v>244348</v>
      </c>
      <c r="D362" t="s">
        <v>371</v>
      </c>
      <c r="E362" t="s">
        <v>375</v>
      </c>
      <c r="F362" t="s">
        <v>455</v>
      </c>
      <c r="G362" s="2">
        <v>130.84</v>
      </c>
      <c r="I362" s="2">
        <v>-147644.03</v>
      </c>
      <c r="J362" s="2">
        <f t="shared" si="5"/>
        <v>130.84</v>
      </c>
    </row>
    <row r="363" spans="1:10" x14ac:dyDescent="0.2">
      <c r="A363" s="3">
        <v>362</v>
      </c>
      <c r="B363" t="s">
        <v>328</v>
      </c>
      <c r="C363" s="1">
        <v>244348</v>
      </c>
      <c r="D363" t="s">
        <v>371</v>
      </c>
      <c r="E363" t="s">
        <v>375</v>
      </c>
      <c r="F363" t="s">
        <v>456</v>
      </c>
      <c r="G363" s="2">
        <v>130.84</v>
      </c>
      <c r="I363" s="2">
        <v>-147513.19</v>
      </c>
      <c r="J363" s="2">
        <f t="shared" si="5"/>
        <v>130.84</v>
      </c>
    </row>
    <row r="364" spans="1:10" x14ac:dyDescent="0.2">
      <c r="A364" s="3">
        <v>363</v>
      </c>
      <c r="B364" s="16" t="s">
        <v>329</v>
      </c>
      <c r="C364" s="1">
        <v>244348</v>
      </c>
      <c r="D364" t="s">
        <v>371</v>
      </c>
      <c r="E364" t="s">
        <v>375</v>
      </c>
      <c r="F364" t="s">
        <v>457</v>
      </c>
      <c r="G364" s="2">
        <v>130.84</v>
      </c>
      <c r="I364" s="2">
        <v>-147382.35</v>
      </c>
      <c r="J364" s="2">
        <f t="shared" si="5"/>
        <v>130.84</v>
      </c>
    </row>
    <row r="365" spans="1:10" x14ac:dyDescent="0.2">
      <c r="A365" s="3">
        <v>364</v>
      </c>
      <c r="B365" t="s">
        <v>330</v>
      </c>
      <c r="C365" s="1">
        <v>244348</v>
      </c>
      <c r="D365" t="s">
        <v>371</v>
      </c>
      <c r="E365" t="s">
        <v>375</v>
      </c>
      <c r="F365" t="s">
        <v>458</v>
      </c>
      <c r="G365" s="2">
        <v>196.26</v>
      </c>
      <c r="I365" s="2">
        <v>-147186.09</v>
      </c>
      <c r="J365" s="2">
        <f t="shared" si="5"/>
        <v>196.26</v>
      </c>
    </row>
    <row r="366" spans="1:10" x14ac:dyDescent="0.2">
      <c r="A366" s="3">
        <v>365</v>
      </c>
      <c r="B366" t="s">
        <v>331</v>
      </c>
      <c r="C366" s="1">
        <v>244348</v>
      </c>
      <c r="D366" t="s">
        <v>371</v>
      </c>
      <c r="E366" t="s">
        <v>375</v>
      </c>
      <c r="F366" t="s">
        <v>459</v>
      </c>
      <c r="G366" s="2">
        <v>130.84</v>
      </c>
      <c r="I366" s="2">
        <v>-147055.25</v>
      </c>
      <c r="J366" s="2">
        <f t="shared" si="5"/>
        <v>130.84</v>
      </c>
    </row>
    <row r="367" spans="1:10" x14ac:dyDescent="0.2">
      <c r="A367" s="3">
        <v>366</v>
      </c>
      <c r="B367" s="16" t="s">
        <v>338</v>
      </c>
      <c r="C367" s="1">
        <v>244348</v>
      </c>
      <c r="D367" t="s">
        <v>371</v>
      </c>
      <c r="E367" t="s">
        <v>375</v>
      </c>
      <c r="F367" t="s">
        <v>460</v>
      </c>
      <c r="G367" s="2">
        <v>196.26</v>
      </c>
      <c r="I367" s="2">
        <v>-146858.99</v>
      </c>
      <c r="J367" s="2">
        <f t="shared" si="5"/>
        <v>196.26</v>
      </c>
    </row>
    <row r="368" spans="1:10" x14ac:dyDescent="0.2">
      <c r="A368" s="3">
        <v>367</v>
      </c>
      <c r="B368" t="s">
        <v>339</v>
      </c>
      <c r="C368" s="1">
        <v>244348</v>
      </c>
      <c r="D368" t="s">
        <v>371</v>
      </c>
      <c r="E368" t="s">
        <v>375</v>
      </c>
      <c r="F368" t="s">
        <v>461</v>
      </c>
      <c r="G368" s="2">
        <v>327.10000000000002</v>
      </c>
      <c r="I368" s="2">
        <v>-146531.89000000001</v>
      </c>
      <c r="J368" s="2">
        <f t="shared" si="5"/>
        <v>327.10000000000002</v>
      </c>
    </row>
    <row r="369" spans="1:10" x14ac:dyDescent="0.2">
      <c r="A369" s="3">
        <v>368</v>
      </c>
      <c r="B369" s="16" t="s">
        <v>340</v>
      </c>
      <c r="C369" s="1">
        <v>244348</v>
      </c>
      <c r="D369" t="s">
        <v>371</v>
      </c>
      <c r="E369" t="s">
        <v>375</v>
      </c>
      <c r="F369" t="s">
        <v>462</v>
      </c>
      <c r="G369" s="2">
        <v>196.26</v>
      </c>
      <c r="I369" s="2">
        <v>-146335.63</v>
      </c>
      <c r="J369" s="2">
        <f t="shared" si="5"/>
        <v>196.26</v>
      </c>
    </row>
    <row r="370" spans="1:10" x14ac:dyDescent="0.2">
      <c r="A370" s="3">
        <v>369</v>
      </c>
      <c r="B370" t="s">
        <v>341</v>
      </c>
      <c r="C370" s="1">
        <v>244348</v>
      </c>
      <c r="D370" t="s">
        <v>371</v>
      </c>
      <c r="E370" t="s">
        <v>375</v>
      </c>
      <c r="F370" t="s">
        <v>463</v>
      </c>
      <c r="G370" s="2">
        <v>196.26</v>
      </c>
      <c r="I370" s="2">
        <v>-146139.37</v>
      </c>
      <c r="J370" s="2">
        <f t="shared" si="5"/>
        <v>196.26</v>
      </c>
    </row>
    <row r="371" spans="1:10" x14ac:dyDescent="0.2">
      <c r="A371" s="3">
        <v>370</v>
      </c>
      <c r="B371" t="s">
        <v>343</v>
      </c>
      <c r="C371" s="1">
        <v>244348</v>
      </c>
      <c r="D371" t="s">
        <v>371</v>
      </c>
      <c r="E371" t="s">
        <v>375</v>
      </c>
      <c r="F371" t="s">
        <v>464</v>
      </c>
      <c r="G371" s="2">
        <v>196.26</v>
      </c>
      <c r="I371" s="2">
        <v>-145943.10999999999</v>
      </c>
      <c r="J371" s="2">
        <f t="shared" si="5"/>
        <v>196.26</v>
      </c>
    </row>
    <row r="372" spans="1:10" x14ac:dyDescent="0.2">
      <c r="A372" s="3">
        <v>371</v>
      </c>
      <c r="B372" s="16" t="s">
        <v>344</v>
      </c>
      <c r="C372" s="1">
        <v>244348</v>
      </c>
      <c r="D372" t="s">
        <v>371</v>
      </c>
      <c r="E372" t="s">
        <v>375</v>
      </c>
      <c r="F372" t="s">
        <v>465</v>
      </c>
      <c r="G372" s="2">
        <v>130.84</v>
      </c>
      <c r="I372" s="2">
        <v>-145812.26999999999</v>
      </c>
      <c r="J372" s="2">
        <f t="shared" si="5"/>
        <v>130.84</v>
      </c>
    </row>
    <row r="373" spans="1:10" x14ac:dyDescent="0.2">
      <c r="A373" s="3">
        <v>372</v>
      </c>
      <c r="B373" t="s">
        <v>252</v>
      </c>
      <c r="C373" s="1">
        <v>244348</v>
      </c>
      <c r="D373" t="s">
        <v>371</v>
      </c>
      <c r="E373" t="s">
        <v>375</v>
      </c>
      <c r="F373" t="s">
        <v>466</v>
      </c>
      <c r="G373" s="2">
        <v>65.42</v>
      </c>
      <c r="I373" s="2">
        <v>-145746.85</v>
      </c>
      <c r="J373" s="2">
        <f t="shared" si="5"/>
        <v>65.42</v>
      </c>
    </row>
    <row r="374" spans="1:10" x14ac:dyDescent="0.2">
      <c r="A374" s="3">
        <v>373</v>
      </c>
      <c r="B374" t="s">
        <v>253</v>
      </c>
      <c r="C374" s="1">
        <v>244348</v>
      </c>
      <c r="D374" t="s">
        <v>371</v>
      </c>
      <c r="E374" t="s">
        <v>375</v>
      </c>
      <c r="F374" t="s">
        <v>467</v>
      </c>
      <c r="G374" s="2">
        <v>65.42</v>
      </c>
      <c r="I374" s="2">
        <v>-145681.43</v>
      </c>
      <c r="J374" s="2">
        <f t="shared" si="5"/>
        <v>65.42</v>
      </c>
    </row>
    <row r="375" spans="1:10" x14ac:dyDescent="0.2">
      <c r="A375" s="3">
        <v>374</v>
      </c>
      <c r="B375" t="s">
        <v>255</v>
      </c>
      <c r="C375" s="1">
        <v>244348</v>
      </c>
      <c r="D375" t="s">
        <v>371</v>
      </c>
      <c r="E375" t="s">
        <v>375</v>
      </c>
      <c r="F375" t="s">
        <v>468</v>
      </c>
      <c r="G375" s="2">
        <v>65.42</v>
      </c>
      <c r="I375" s="2">
        <v>-145616.01</v>
      </c>
      <c r="J375" s="2">
        <f t="shared" si="5"/>
        <v>65.42</v>
      </c>
    </row>
    <row r="376" spans="1:10" x14ac:dyDescent="0.2">
      <c r="A376" s="3">
        <v>375</v>
      </c>
      <c r="B376" t="s">
        <v>254</v>
      </c>
      <c r="C376" s="1">
        <v>244348</v>
      </c>
      <c r="D376" t="s">
        <v>371</v>
      </c>
      <c r="E376" t="s">
        <v>375</v>
      </c>
      <c r="F376" t="s">
        <v>469</v>
      </c>
      <c r="G376" s="2">
        <v>196.26</v>
      </c>
      <c r="I376" s="2">
        <v>-145419.75</v>
      </c>
      <c r="J376" s="2">
        <f t="shared" si="5"/>
        <v>196.26</v>
      </c>
    </row>
    <row r="377" spans="1:10" x14ac:dyDescent="0.2">
      <c r="A377" s="3">
        <v>376</v>
      </c>
      <c r="B377" t="s">
        <v>270</v>
      </c>
      <c r="C377" s="1">
        <v>244348</v>
      </c>
      <c r="D377" t="s">
        <v>371</v>
      </c>
      <c r="E377" t="s">
        <v>375</v>
      </c>
      <c r="F377" t="s">
        <v>470</v>
      </c>
      <c r="G377" s="2">
        <v>1308.4100000000001</v>
      </c>
      <c r="I377" s="2">
        <v>-144111.34</v>
      </c>
      <c r="J377" s="2">
        <f t="shared" si="5"/>
        <v>1308.4100000000001</v>
      </c>
    </row>
    <row r="378" spans="1:10" x14ac:dyDescent="0.2">
      <c r="A378" s="3">
        <v>377</v>
      </c>
      <c r="B378" t="s">
        <v>271</v>
      </c>
      <c r="C378" s="1">
        <v>244348</v>
      </c>
      <c r="D378" t="s">
        <v>371</v>
      </c>
      <c r="E378" t="s">
        <v>375</v>
      </c>
      <c r="F378" t="s">
        <v>471</v>
      </c>
      <c r="G378" s="2">
        <v>654.21</v>
      </c>
      <c r="I378" s="2">
        <v>-143457.13</v>
      </c>
      <c r="J378" s="2">
        <f t="shared" si="5"/>
        <v>654.21</v>
      </c>
    </row>
    <row r="379" spans="1:10" x14ac:dyDescent="0.2">
      <c r="A379" s="3">
        <v>378</v>
      </c>
      <c r="B379" t="s">
        <v>141</v>
      </c>
      <c r="C379" s="1">
        <v>244348</v>
      </c>
      <c r="D379" t="s">
        <v>371</v>
      </c>
      <c r="E379" t="s">
        <v>472</v>
      </c>
      <c r="F379" t="s">
        <v>473</v>
      </c>
      <c r="H379" s="2">
        <v>327.10000000000002</v>
      </c>
      <c r="I379" s="2">
        <v>-143784.23000000001</v>
      </c>
      <c r="J379" s="2">
        <f t="shared" si="5"/>
        <v>-327.10000000000002</v>
      </c>
    </row>
    <row r="380" spans="1:10" x14ac:dyDescent="0.2">
      <c r="A380" s="3">
        <v>379</v>
      </c>
      <c r="B380" t="s">
        <v>104</v>
      </c>
      <c r="C380" s="1">
        <v>244348</v>
      </c>
      <c r="D380" t="s">
        <v>371</v>
      </c>
      <c r="E380" t="s">
        <v>472</v>
      </c>
      <c r="F380" t="s">
        <v>474</v>
      </c>
      <c r="H380" s="2">
        <v>196.26</v>
      </c>
      <c r="I380" s="2">
        <v>-143980.49</v>
      </c>
      <c r="J380" s="2">
        <f t="shared" si="5"/>
        <v>-196.26</v>
      </c>
    </row>
    <row r="381" spans="1:10" x14ac:dyDescent="0.2">
      <c r="A381" s="3">
        <v>380</v>
      </c>
      <c r="B381" t="s">
        <v>114</v>
      </c>
      <c r="C381" s="1">
        <v>244348</v>
      </c>
      <c r="D381" t="s">
        <v>371</v>
      </c>
      <c r="E381" t="s">
        <v>472</v>
      </c>
      <c r="F381" t="s">
        <v>149</v>
      </c>
      <c r="H381" s="2">
        <v>654.21</v>
      </c>
      <c r="I381" s="2">
        <v>-144634.70000000001</v>
      </c>
      <c r="J381" s="2">
        <f t="shared" si="5"/>
        <v>-654.21</v>
      </c>
    </row>
    <row r="382" spans="1:10" x14ac:dyDescent="0.2">
      <c r="A382" s="3">
        <v>381</v>
      </c>
      <c r="B382" t="s">
        <v>99</v>
      </c>
      <c r="C382" s="1">
        <v>244348</v>
      </c>
      <c r="D382" t="s">
        <v>371</v>
      </c>
      <c r="E382" t="s">
        <v>472</v>
      </c>
      <c r="F382" t="s">
        <v>149</v>
      </c>
      <c r="H382" s="2">
        <v>130.84</v>
      </c>
      <c r="I382" s="2">
        <v>-144765.54</v>
      </c>
      <c r="J382" s="2">
        <f t="shared" si="5"/>
        <v>-130.84</v>
      </c>
    </row>
    <row r="383" spans="1:10" x14ac:dyDescent="0.2">
      <c r="A383" s="3">
        <v>382</v>
      </c>
      <c r="B383" t="s">
        <v>123</v>
      </c>
      <c r="C383" s="1">
        <v>244348</v>
      </c>
      <c r="D383" t="s">
        <v>371</v>
      </c>
      <c r="E383" t="s">
        <v>472</v>
      </c>
      <c r="F383" t="s">
        <v>377</v>
      </c>
      <c r="H383" s="14">
        <v>392.52</v>
      </c>
      <c r="I383" s="2">
        <v>-145158.06</v>
      </c>
      <c r="J383" s="2">
        <f t="shared" si="5"/>
        <v>-392.52</v>
      </c>
    </row>
    <row r="384" spans="1:10" x14ac:dyDescent="0.2">
      <c r="A384" s="3">
        <v>383</v>
      </c>
      <c r="B384" t="s">
        <v>111</v>
      </c>
      <c r="C384" s="1">
        <v>244348</v>
      </c>
      <c r="D384" t="s">
        <v>371</v>
      </c>
      <c r="E384" t="s">
        <v>472</v>
      </c>
      <c r="F384" t="s">
        <v>475</v>
      </c>
      <c r="H384" s="2">
        <v>327.10000000000002</v>
      </c>
      <c r="I384" s="2">
        <v>-145485.16</v>
      </c>
      <c r="J384" s="2">
        <f t="shared" si="5"/>
        <v>-327.10000000000002</v>
      </c>
    </row>
    <row r="385" spans="1:10" x14ac:dyDescent="0.2">
      <c r="A385" s="3">
        <v>384</v>
      </c>
      <c r="B385" t="s">
        <v>143</v>
      </c>
      <c r="C385" s="1">
        <v>244348</v>
      </c>
      <c r="D385" t="s">
        <v>371</v>
      </c>
      <c r="E385" t="s">
        <v>472</v>
      </c>
      <c r="F385" t="s">
        <v>476</v>
      </c>
      <c r="H385" s="2">
        <v>327.10000000000002</v>
      </c>
      <c r="I385" s="2">
        <v>-145812.26</v>
      </c>
      <c r="J385" s="2">
        <f t="shared" ref="J385:J439" si="6">G385-H385</f>
        <v>-327.10000000000002</v>
      </c>
    </row>
    <row r="386" spans="1:10" x14ac:dyDescent="0.2">
      <c r="A386" s="3">
        <v>385</v>
      </c>
      <c r="B386" t="s">
        <v>387</v>
      </c>
      <c r="C386" s="1">
        <v>244348</v>
      </c>
      <c r="D386" t="s">
        <v>371</v>
      </c>
      <c r="E386" t="s">
        <v>472</v>
      </c>
      <c r="F386" t="s">
        <v>387</v>
      </c>
      <c r="H386" s="2">
        <v>8825.23</v>
      </c>
      <c r="I386" s="2">
        <v>-154637.49</v>
      </c>
      <c r="J386" s="2">
        <f t="shared" si="6"/>
        <v>-8825.23</v>
      </c>
    </row>
    <row r="387" spans="1:10" x14ac:dyDescent="0.2">
      <c r="A387" s="3">
        <v>386</v>
      </c>
      <c r="B387" t="s">
        <v>391</v>
      </c>
      <c r="C387" s="1">
        <v>244348</v>
      </c>
      <c r="D387" t="s">
        <v>371</v>
      </c>
      <c r="E387" t="s">
        <v>472</v>
      </c>
      <c r="F387" t="s">
        <v>391</v>
      </c>
      <c r="H387" s="2">
        <v>196.26</v>
      </c>
      <c r="I387" s="2">
        <v>-154833.75</v>
      </c>
      <c r="J387" s="2">
        <f t="shared" si="6"/>
        <v>-196.26</v>
      </c>
    </row>
    <row r="388" spans="1:10" x14ac:dyDescent="0.2">
      <c r="A388" s="3">
        <v>387</v>
      </c>
      <c r="B388" t="s">
        <v>197</v>
      </c>
      <c r="C388" s="1">
        <v>244348</v>
      </c>
      <c r="D388" t="s">
        <v>371</v>
      </c>
      <c r="E388" t="s">
        <v>472</v>
      </c>
      <c r="F388" t="s">
        <v>406</v>
      </c>
      <c r="H388" s="2">
        <v>647.66</v>
      </c>
      <c r="I388" s="2">
        <v>-155481.41</v>
      </c>
      <c r="J388" s="2">
        <f t="shared" si="6"/>
        <v>-647.66</v>
      </c>
    </row>
    <row r="389" spans="1:10" x14ac:dyDescent="0.2">
      <c r="A389" s="3">
        <v>388</v>
      </c>
      <c r="B389" t="s">
        <v>199</v>
      </c>
      <c r="C389" s="1">
        <v>244348</v>
      </c>
      <c r="D389" t="s">
        <v>371</v>
      </c>
      <c r="E389" t="s">
        <v>472</v>
      </c>
      <c r="F389" t="s">
        <v>408</v>
      </c>
      <c r="H389" s="2">
        <v>196.26</v>
      </c>
      <c r="I389" s="2">
        <v>-155677.67000000001</v>
      </c>
      <c r="J389" s="2">
        <f t="shared" si="6"/>
        <v>-196.26</v>
      </c>
    </row>
    <row r="390" spans="1:10" x14ac:dyDescent="0.2">
      <c r="A390" s="3">
        <v>389</v>
      </c>
      <c r="B390" s="15" t="s">
        <v>190</v>
      </c>
      <c r="C390" s="1">
        <v>244348</v>
      </c>
      <c r="D390" t="s">
        <v>371</v>
      </c>
      <c r="E390" t="s">
        <v>472</v>
      </c>
      <c r="F390" t="s">
        <v>401</v>
      </c>
      <c r="H390" s="6">
        <v>228.97</v>
      </c>
      <c r="I390" s="2">
        <v>-155906.64000000001</v>
      </c>
      <c r="J390" s="2">
        <f t="shared" si="6"/>
        <v>-228.97</v>
      </c>
    </row>
    <row r="391" spans="1:10" x14ac:dyDescent="0.2">
      <c r="A391" s="3">
        <v>390</v>
      </c>
      <c r="B391" t="s">
        <v>205</v>
      </c>
      <c r="C391" s="1">
        <v>244348</v>
      </c>
      <c r="D391" t="s">
        <v>371</v>
      </c>
      <c r="E391" t="s">
        <v>472</v>
      </c>
      <c r="F391" t="s">
        <v>411</v>
      </c>
      <c r="H391" s="2">
        <v>654.21</v>
      </c>
      <c r="I391" s="2">
        <v>-156560.85</v>
      </c>
      <c r="J391" s="2">
        <f t="shared" si="6"/>
        <v>-654.21</v>
      </c>
    </row>
    <row r="392" spans="1:10" x14ac:dyDescent="0.2">
      <c r="A392" s="3">
        <v>391</v>
      </c>
      <c r="B392" t="s">
        <v>145</v>
      </c>
      <c r="C392" s="1">
        <v>244348</v>
      </c>
      <c r="D392" t="s">
        <v>371</v>
      </c>
      <c r="E392" t="s">
        <v>472</v>
      </c>
      <c r="F392" t="s">
        <v>402</v>
      </c>
      <c r="H392" s="2">
        <v>327.10000000000002</v>
      </c>
      <c r="I392" s="2">
        <v>-156887.95000000001</v>
      </c>
      <c r="J392" s="2">
        <f t="shared" si="6"/>
        <v>-327.10000000000002</v>
      </c>
    </row>
    <row r="393" spans="1:10" x14ac:dyDescent="0.2">
      <c r="A393" s="3">
        <v>392</v>
      </c>
      <c r="B393" t="s">
        <v>191</v>
      </c>
      <c r="C393" s="1">
        <v>244348</v>
      </c>
      <c r="D393" t="s">
        <v>371</v>
      </c>
      <c r="E393" t="s">
        <v>472</v>
      </c>
      <c r="F393" t="s">
        <v>402</v>
      </c>
      <c r="H393" s="2">
        <v>65.42</v>
      </c>
      <c r="I393" s="2">
        <v>-156953.37</v>
      </c>
      <c r="J393" s="2">
        <f t="shared" si="6"/>
        <v>-65.42</v>
      </c>
    </row>
    <row r="394" spans="1:10" x14ac:dyDescent="0.2">
      <c r="A394" s="3">
        <v>393</v>
      </c>
      <c r="B394" t="s">
        <v>175</v>
      </c>
      <c r="C394" s="1">
        <v>244348</v>
      </c>
      <c r="D394" t="s">
        <v>371</v>
      </c>
      <c r="E394" t="s">
        <v>472</v>
      </c>
      <c r="F394" t="s">
        <v>392</v>
      </c>
      <c r="H394" s="2">
        <v>130.84</v>
      </c>
      <c r="I394" s="2">
        <v>-157084.21</v>
      </c>
      <c r="J394" s="2">
        <f t="shared" si="6"/>
        <v>-130.84</v>
      </c>
    </row>
    <row r="395" spans="1:10" x14ac:dyDescent="0.2">
      <c r="A395" s="3">
        <v>394</v>
      </c>
      <c r="B395" t="s">
        <v>270</v>
      </c>
      <c r="C395" s="1">
        <v>244348</v>
      </c>
      <c r="D395" t="s">
        <v>371</v>
      </c>
      <c r="E395" t="s">
        <v>472</v>
      </c>
      <c r="F395" t="s">
        <v>470</v>
      </c>
      <c r="H395" s="2">
        <v>1308.4100000000001</v>
      </c>
      <c r="I395" s="2">
        <v>-158392.62</v>
      </c>
      <c r="J395" s="2">
        <f t="shared" si="6"/>
        <v>-1308.4100000000001</v>
      </c>
    </row>
    <row r="396" spans="1:10" x14ac:dyDescent="0.2">
      <c r="A396" s="3">
        <v>395</v>
      </c>
      <c r="B396" t="s">
        <v>131</v>
      </c>
      <c r="C396" s="1">
        <v>244348</v>
      </c>
      <c r="D396" t="s">
        <v>371</v>
      </c>
      <c r="E396" t="s">
        <v>472</v>
      </c>
      <c r="F396" t="s">
        <v>434</v>
      </c>
      <c r="H396" s="2">
        <v>196.26</v>
      </c>
      <c r="I396" s="2">
        <v>-158588.88</v>
      </c>
      <c r="J396" s="2">
        <f t="shared" si="6"/>
        <v>-196.26</v>
      </c>
    </row>
    <row r="397" spans="1:10" x14ac:dyDescent="0.2">
      <c r="A397" s="3">
        <v>396</v>
      </c>
      <c r="B397" t="s">
        <v>307</v>
      </c>
      <c r="C397" s="1">
        <v>244348</v>
      </c>
      <c r="D397" t="s">
        <v>371</v>
      </c>
      <c r="E397" t="s">
        <v>472</v>
      </c>
      <c r="F397" t="s">
        <v>440</v>
      </c>
      <c r="H397" s="2">
        <v>65.42</v>
      </c>
      <c r="I397" s="2">
        <v>-158654.29999999999</v>
      </c>
      <c r="J397" s="2">
        <f t="shared" si="6"/>
        <v>-65.42</v>
      </c>
    </row>
    <row r="398" spans="1:10" x14ac:dyDescent="0.2">
      <c r="A398" s="3">
        <v>397</v>
      </c>
      <c r="B398" t="s">
        <v>151</v>
      </c>
      <c r="C398" s="1">
        <v>244348</v>
      </c>
      <c r="D398" t="s">
        <v>371</v>
      </c>
      <c r="E398" t="s">
        <v>472</v>
      </c>
      <c r="F398" t="s">
        <v>376</v>
      </c>
      <c r="H398" s="2">
        <v>327.10000000000002</v>
      </c>
      <c r="I398" s="2">
        <v>-158981.4</v>
      </c>
      <c r="J398" s="2">
        <f t="shared" si="6"/>
        <v>-327.10000000000002</v>
      </c>
    </row>
    <row r="399" spans="1:10" x14ac:dyDescent="0.2">
      <c r="A399" s="3">
        <v>398</v>
      </c>
      <c r="B399" t="s">
        <v>125</v>
      </c>
      <c r="C399" s="1">
        <v>244348</v>
      </c>
      <c r="D399" t="s">
        <v>371</v>
      </c>
      <c r="E399" t="s">
        <v>472</v>
      </c>
      <c r="F399" t="s">
        <v>437</v>
      </c>
      <c r="H399" s="2">
        <v>196.26</v>
      </c>
      <c r="I399" s="2">
        <v>-159177.66</v>
      </c>
      <c r="J399" s="2">
        <f t="shared" si="6"/>
        <v>-196.26</v>
      </c>
    </row>
    <row r="400" spans="1:10" x14ac:dyDescent="0.2">
      <c r="A400" s="3">
        <v>399</v>
      </c>
      <c r="B400" t="s">
        <v>295</v>
      </c>
      <c r="C400" s="1">
        <v>244348</v>
      </c>
      <c r="D400" t="s">
        <v>371</v>
      </c>
      <c r="E400" t="s">
        <v>472</v>
      </c>
      <c r="F400" t="s">
        <v>436</v>
      </c>
      <c r="H400" s="2">
        <v>196.26</v>
      </c>
      <c r="I400" s="2">
        <v>-159373.92000000001</v>
      </c>
      <c r="J400" s="2">
        <f t="shared" si="6"/>
        <v>-196.26</v>
      </c>
    </row>
    <row r="401" spans="1:10" x14ac:dyDescent="0.2">
      <c r="A401" s="3">
        <v>400</v>
      </c>
      <c r="B401" t="s">
        <v>246</v>
      </c>
      <c r="C401" s="1">
        <v>244348</v>
      </c>
      <c r="D401" t="s">
        <v>371</v>
      </c>
      <c r="E401" t="s">
        <v>472</v>
      </c>
      <c r="F401" t="s">
        <v>422</v>
      </c>
      <c r="H401" s="2">
        <v>654.21</v>
      </c>
      <c r="I401" s="2">
        <v>-160028.13</v>
      </c>
      <c r="J401" s="2">
        <f t="shared" si="6"/>
        <v>-654.21</v>
      </c>
    </row>
    <row r="402" spans="1:10" x14ac:dyDescent="0.2">
      <c r="A402" s="3">
        <v>401</v>
      </c>
      <c r="B402" t="s">
        <v>276</v>
      </c>
      <c r="C402" s="1">
        <v>244348</v>
      </c>
      <c r="D402" t="s">
        <v>371</v>
      </c>
      <c r="E402" t="s">
        <v>472</v>
      </c>
      <c r="F402" t="s">
        <v>432</v>
      </c>
      <c r="H402" s="2">
        <v>196.26</v>
      </c>
      <c r="I402" s="2">
        <v>-160224.39000000001</v>
      </c>
      <c r="J402" s="2">
        <f t="shared" si="6"/>
        <v>-196.26</v>
      </c>
    </row>
    <row r="403" spans="1:10" x14ac:dyDescent="0.2">
      <c r="A403" s="3">
        <v>402</v>
      </c>
      <c r="B403" t="s">
        <v>136</v>
      </c>
      <c r="C403" s="1">
        <v>244348</v>
      </c>
      <c r="D403" t="s">
        <v>371</v>
      </c>
      <c r="E403" t="s">
        <v>472</v>
      </c>
      <c r="F403" t="s">
        <v>477</v>
      </c>
      <c r="H403" s="2">
        <v>196.26</v>
      </c>
      <c r="I403" s="2">
        <v>-160420.65</v>
      </c>
      <c r="J403" s="2">
        <f t="shared" si="6"/>
        <v>-196.26</v>
      </c>
    </row>
    <row r="404" spans="1:10" x14ac:dyDescent="0.2">
      <c r="A404" s="3">
        <v>403</v>
      </c>
      <c r="B404" t="s">
        <v>116</v>
      </c>
      <c r="C404" s="1">
        <v>244348</v>
      </c>
      <c r="D404" t="s">
        <v>371</v>
      </c>
      <c r="E404" t="s">
        <v>472</v>
      </c>
      <c r="F404" t="s">
        <v>478</v>
      </c>
      <c r="H404" s="2">
        <v>327.10000000000002</v>
      </c>
      <c r="I404" s="2">
        <v>-160747.75</v>
      </c>
      <c r="J404" s="2">
        <f t="shared" si="6"/>
        <v>-327.10000000000002</v>
      </c>
    </row>
    <row r="405" spans="1:10" x14ac:dyDescent="0.2">
      <c r="A405" s="3">
        <v>404</v>
      </c>
      <c r="B405" t="s">
        <v>129</v>
      </c>
      <c r="C405" s="1">
        <v>244348</v>
      </c>
      <c r="D405" t="s">
        <v>371</v>
      </c>
      <c r="E405" t="s">
        <v>472</v>
      </c>
      <c r="F405" t="s">
        <v>479</v>
      </c>
      <c r="H405" s="2">
        <v>327.10000000000002</v>
      </c>
      <c r="I405" s="2">
        <v>-161074.85</v>
      </c>
      <c r="J405" s="2">
        <f t="shared" si="6"/>
        <v>-327.10000000000002</v>
      </c>
    </row>
    <row r="406" spans="1:10" x14ac:dyDescent="0.2">
      <c r="A406" s="3">
        <v>405</v>
      </c>
      <c r="B406" t="s">
        <v>180</v>
      </c>
      <c r="C406" s="1">
        <v>244348</v>
      </c>
      <c r="D406" t="s">
        <v>371</v>
      </c>
      <c r="E406" t="s">
        <v>472</v>
      </c>
      <c r="F406" t="s">
        <v>395</v>
      </c>
      <c r="H406" s="2">
        <v>196.26</v>
      </c>
      <c r="I406" s="2">
        <v>-161271.10999999999</v>
      </c>
      <c r="J406" s="2">
        <f t="shared" si="6"/>
        <v>-196.26</v>
      </c>
    </row>
    <row r="407" spans="1:10" x14ac:dyDescent="0.2">
      <c r="A407" s="3">
        <v>406</v>
      </c>
      <c r="B407" t="s">
        <v>377</v>
      </c>
      <c r="C407" s="1">
        <v>244348</v>
      </c>
      <c r="D407" t="s">
        <v>371</v>
      </c>
      <c r="E407" t="s">
        <v>472</v>
      </c>
      <c r="F407" t="s">
        <v>377</v>
      </c>
      <c r="H407" s="2">
        <v>654.21</v>
      </c>
      <c r="I407" s="2">
        <v>-161925.32</v>
      </c>
      <c r="J407" s="2">
        <f t="shared" si="6"/>
        <v>-654.21</v>
      </c>
    </row>
    <row r="408" spans="1:10" x14ac:dyDescent="0.2">
      <c r="A408" s="3">
        <v>407</v>
      </c>
      <c r="B408" t="s">
        <v>178</v>
      </c>
      <c r="C408" s="1">
        <v>244348</v>
      </c>
      <c r="D408" t="s">
        <v>371</v>
      </c>
      <c r="E408" t="s">
        <v>472</v>
      </c>
      <c r="F408" t="s">
        <v>393</v>
      </c>
      <c r="H408" s="2">
        <v>196.26</v>
      </c>
      <c r="I408" s="2">
        <v>-162121.57999999999</v>
      </c>
      <c r="J408" s="2">
        <f t="shared" si="6"/>
        <v>-196.26</v>
      </c>
    </row>
    <row r="409" spans="1:10" x14ac:dyDescent="0.2">
      <c r="A409" s="3">
        <v>408</v>
      </c>
      <c r="B409" t="s">
        <v>386</v>
      </c>
      <c r="C409" s="1">
        <v>244348</v>
      </c>
      <c r="D409" t="s">
        <v>371</v>
      </c>
      <c r="E409" t="s">
        <v>472</v>
      </c>
      <c r="F409" t="s">
        <v>386</v>
      </c>
      <c r="H409" s="2">
        <v>261.68</v>
      </c>
      <c r="I409" s="2">
        <v>-162383.26</v>
      </c>
      <c r="J409" s="2">
        <f t="shared" si="6"/>
        <v>-261.68</v>
      </c>
    </row>
    <row r="410" spans="1:10" x14ac:dyDescent="0.2">
      <c r="A410" s="3">
        <v>409</v>
      </c>
      <c r="B410" t="s">
        <v>161</v>
      </c>
      <c r="C410" s="1">
        <v>244348</v>
      </c>
      <c r="D410" t="s">
        <v>371</v>
      </c>
      <c r="E410" t="s">
        <v>472</v>
      </c>
      <c r="F410" t="s">
        <v>384</v>
      </c>
      <c r="H410" s="2">
        <v>65.42</v>
      </c>
      <c r="I410" s="2">
        <v>-162448.68</v>
      </c>
      <c r="J410" s="2">
        <f t="shared" si="6"/>
        <v>-65.42</v>
      </c>
    </row>
    <row r="411" spans="1:10" x14ac:dyDescent="0.2">
      <c r="A411" s="3">
        <v>410</v>
      </c>
      <c r="B411" t="s">
        <v>204</v>
      </c>
      <c r="C411" s="1">
        <v>244348</v>
      </c>
      <c r="D411" t="s">
        <v>371</v>
      </c>
      <c r="E411" t="s">
        <v>472</v>
      </c>
      <c r="F411" t="s">
        <v>410</v>
      </c>
      <c r="H411" s="2">
        <v>130.84</v>
      </c>
      <c r="I411" s="2">
        <v>-162579.51999999999</v>
      </c>
      <c r="J411" s="2">
        <f t="shared" si="6"/>
        <v>-130.84</v>
      </c>
    </row>
    <row r="412" spans="1:10" x14ac:dyDescent="0.2">
      <c r="A412" s="3">
        <v>411</v>
      </c>
      <c r="B412" t="s">
        <v>120</v>
      </c>
      <c r="C412" s="1">
        <v>244348</v>
      </c>
      <c r="D412" t="s">
        <v>371</v>
      </c>
      <c r="E412" t="s">
        <v>472</v>
      </c>
      <c r="F412" t="s">
        <v>480</v>
      </c>
      <c r="H412" s="2">
        <v>196.26</v>
      </c>
      <c r="I412" s="2">
        <v>-162775.78</v>
      </c>
      <c r="J412" s="2">
        <f t="shared" si="6"/>
        <v>-196.26</v>
      </c>
    </row>
    <row r="413" spans="1:10" x14ac:dyDescent="0.2">
      <c r="A413" s="3">
        <v>412</v>
      </c>
      <c r="B413" t="s">
        <v>230</v>
      </c>
      <c r="C413" s="1">
        <v>244348</v>
      </c>
      <c r="D413" t="s">
        <v>371</v>
      </c>
      <c r="E413" t="s">
        <v>472</v>
      </c>
      <c r="F413" t="s">
        <v>421</v>
      </c>
      <c r="H413" s="2">
        <v>196.26</v>
      </c>
      <c r="I413" s="2">
        <v>-162972.04</v>
      </c>
      <c r="J413" s="2">
        <f t="shared" si="6"/>
        <v>-196.26</v>
      </c>
    </row>
    <row r="414" spans="1:10" x14ac:dyDescent="0.2">
      <c r="A414" s="3">
        <v>413</v>
      </c>
      <c r="B414" t="s">
        <v>160</v>
      </c>
      <c r="C414" s="1">
        <v>244348</v>
      </c>
      <c r="D414" t="s">
        <v>371</v>
      </c>
      <c r="E414" t="s">
        <v>472</v>
      </c>
      <c r="F414" t="s">
        <v>383</v>
      </c>
      <c r="H414" s="2">
        <v>196.26</v>
      </c>
      <c r="I414" s="2">
        <v>-163168.29999999999</v>
      </c>
      <c r="J414" s="2">
        <f t="shared" si="6"/>
        <v>-196.26</v>
      </c>
    </row>
    <row r="415" spans="1:10" x14ac:dyDescent="0.2">
      <c r="A415" s="3">
        <v>414</v>
      </c>
      <c r="B415" t="s">
        <v>219</v>
      </c>
      <c r="C415" s="1">
        <v>244348</v>
      </c>
      <c r="D415" t="s">
        <v>371</v>
      </c>
      <c r="E415" t="s">
        <v>472</v>
      </c>
      <c r="F415" t="s">
        <v>418</v>
      </c>
      <c r="H415" s="2">
        <v>196.26</v>
      </c>
      <c r="I415" s="2">
        <v>-163364.56</v>
      </c>
      <c r="J415" s="2">
        <f t="shared" si="6"/>
        <v>-196.26</v>
      </c>
    </row>
    <row r="416" spans="1:10" x14ac:dyDescent="0.2">
      <c r="A416" s="3">
        <v>415</v>
      </c>
      <c r="B416" t="s">
        <v>217</v>
      </c>
      <c r="C416" s="1">
        <v>244348</v>
      </c>
      <c r="D416" t="s">
        <v>371</v>
      </c>
      <c r="E416" t="s">
        <v>472</v>
      </c>
      <c r="F416" t="s">
        <v>416</v>
      </c>
      <c r="H416" s="2">
        <v>65.42</v>
      </c>
      <c r="I416" s="2">
        <v>-163429.98000000001</v>
      </c>
      <c r="J416" s="2">
        <f t="shared" si="6"/>
        <v>-65.42</v>
      </c>
    </row>
    <row r="417" spans="1:10" x14ac:dyDescent="0.2">
      <c r="A417" s="3">
        <v>416</v>
      </c>
      <c r="B417" t="s">
        <v>216</v>
      </c>
      <c r="C417" s="1">
        <v>244348</v>
      </c>
      <c r="D417" t="s">
        <v>371</v>
      </c>
      <c r="E417" t="s">
        <v>472</v>
      </c>
      <c r="F417" t="s">
        <v>415</v>
      </c>
      <c r="H417" s="2">
        <v>196.26</v>
      </c>
      <c r="I417" s="2">
        <v>-163626.23999999999</v>
      </c>
      <c r="J417" s="2">
        <f t="shared" si="6"/>
        <v>-196.26</v>
      </c>
    </row>
    <row r="418" spans="1:10" x14ac:dyDescent="0.2">
      <c r="A418" s="3">
        <v>417</v>
      </c>
      <c r="B418" s="15" t="s">
        <v>190</v>
      </c>
      <c r="C418" s="1">
        <v>244348</v>
      </c>
      <c r="D418" t="s">
        <v>371</v>
      </c>
      <c r="E418" t="s">
        <v>472</v>
      </c>
      <c r="F418" t="s">
        <v>401</v>
      </c>
      <c r="H418" s="6">
        <v>654.21</v>
      </c>
      <c r="I418" s="2">
        <v>-164280.45000000001</v>
      </c>
      <c r="J418" s="2">
        <f t="shared" si="6"/>
        <v>-654.21</v>
      </c>
    </row>
    <row r="419" spans="1:10" x14ac:dyDescent="0.2">
      <c r="A419" s="3">
        <v>418</v>
      </c>
      <c r="B419" t="s">
        <v>293</v>
      </c>
      <c r="C419" s="1">
        <v>244348</v>
      </c>
      <c r="D419" t="s">
        <v>371</v>
      </c>
      <c r="E419" t="s">
        <v>472</v>
      </c>
      <c r="F419" t="s">
        <v>398</v>
      </c>
      <c r="H419" s="2">
        <v>327.10000000000002</v>
      </c>
      <c r="I419" s="2">
        <v>-164607.54999999999</v>
      </c>
      <c r="J419" s="2">
        <f t="shared" si="6"/>
        <v>-327.10000000000002</v>
      </c>
    </row>
    <row r="420" spans="1:10" x14ac:dyDescent="0.2">
      <c r="A420" s="3">
        <v>419</v>
      </c>
      <c r="B420" t="s">
        <v>179</v>
      </c>
      <c r="C420" s="1">
        <v>244348</v>
      </c>
      <c r="D420" t="s">
        <v>371</v>
      </c>
      <c r="E420" t="s">
        <v>472</v>
      </c>
      <c r="F420" t="s">
        <v>394</v>
      </c>
      <c r="H420" s="2">
        <v>2158.88</v>
      </c>
      <c r="I420" s="2">
        <v>-166766.43</v>
      </c>
      <c r="J420" s="2">
        <f t="shared" si="6"/>
        <v>-2158.88</v>
      </c>
    </row>
    <row r="421" spans="1:10" x14ac:dyDescent="0.2">
      <c r="A421" s="3">
        <v>420</v>
      </c>
      <c r="B421" t="s">
        <v>248</v>
      </c>
      <c r="C421" s="1">
        <v>244348</v>
      </c>
      <c r="D421" t="s">
        <v>371</v>
      </c>
      <c r="E421" t="s">
        <v>472</v>
      </c>
      <c r="F421" t="s">
        <v>424</v>
      </c>
      <c r="H421" s="2">
        <v>850.47</v>
      </c>
      <c r="I421" s="2">
        <v>-167616.9</v>
      </c>
      <c r="J421" s="2">
        <f t="shared" si="6"/>
        <v>-850.47</v>
      </c>
    </row>
    <row r="422" spans="1:10" x14ac:dyDescent="0.2">
      <c r="A422" s="3">
        <v>421</v>
      </c>
      <c r="B422" t="s">
        <v>346</v>
      </c>
      <c r="C422" s="1">
        <v>244348</v>
      </c>
      <c r="D422" t="s">
        <v>371</v>
      </c>
      <c r="E422" t="s">
        <v>472</v>
      </c>
      <c r="F422" t="s">
        <v>409</v>
      </c>
      <c r="H422" s="2">
        <v>327.10000000000002</v>
      </c>
      <c r="I422" s="2">
        <v>-167944</v>
      </c>
      <c r="J422" s="2">
        <f t="shared" si="6"/>
        <v>-327.10000000000002</v>
      </c>
    </row>
    <row r="423" spans="1:10" x14ac:dyDescent="0.2">
      <c r="A423" s="3">
        <v>422</v>
      </c>
      <c r="B423" t="s">
        <v>221</v>
      </c>
      <c r="C423" s="1">
        <v>244348</v>
      </c>
      <c r="D423" t="s">
        <v>371</v>
      </c>
      <c r="E423" t="s">
        <v>472</v>
      </c>
      <c r="F423" t="s">
        <v>419</v>
      </c>
      <c r="H423" s="2">
        <v>196.26</v>
      </c>
      <c r="I423" s="2">
        <v>-168140.26</v>
      </c>
      <c r="J423" s="2">
        <f t="shared" si="6"/>
        <v>-196.26</v>
      </c>
    </row>
    <row r="424" spans="1:10" x14ac:dyDescent="0.2">
      <c r="A424" s="3">
        <v>423</v>
      </c>
      <c r="B424" t="s">
        <v>222</v>
      </c>
      <c r="C424" s="1">
        <v>244348</v>
      </c>
      <c r="D424" t="s">
        <v>371</v>
      </c>
      <c r="E424" t="s">
        <v>472</v>
      </c>
      <c r="F424" t="s">
        <v>420</v>
      </c>
      <c r="H424" s="2">
        <v>196.26</v>
      </c>
      <c r="I424" s="2">
        <v>-168336.52</v>
      </c>
      <c r="J424" s="2">
        <f t="shared" si="6"/>
        <v>-196.26</v>
      </c>
    </row>
    <row r="425" spans="1:10" x14ac:dyDescent="0.2">
      <c r="A425" s="3">
        <v>424</v>
      </c>
      <c r="B425" t="s">
        <v>305</v>
      </c>
      <c r="C425" s="1">
        <v>244348</v>
      </c>
      <c r="D425" t="s">
        <v>371</v>
      </c>
      <c r="E425" t="s">
        <v>472</v>
      </c>
      <c r="F425" t="s">
        <v>438</v>
      </c>
      <c r="H425" s="2">
        <v>327.10000000000002</v>
      </c>
      <c r="I425" s="2">
        <v>-168663.62</v>
      </c>
      <c r="J425" s="2">
        <f t="shared" si="6"/>
        <v>-327.10000000000002</v>
      </c>
    </row>
    <row r="426" spans="1:10" x14ac:dyDescent="0.2">
      <c r="A426" s="3">
        <v>425</v>
      </c>
      <c r="B426" t="s">
        <v>131</v>
      </c>
      <c r="C426" s="1">
        <v>244348</v>
      </c>
      <c r="D426" t="s">
        <v>371</v>
      </c>
      <c r="E426" t="s">
        <v>472</v>
      </c>
      <c r="F426" t="s">
        <v>434</v>
      </c>
      <c r="H426" s="2">
        <v>196.26</v>
      </c>
      <c r="I426" s="2">
        <v>-168859.88</v>
      </c>
      <c r="J426" s="2">
        <f t="shared" si="6"/>
        <v>-196.26</v>
      </c>
    </row>
    <row r="427" spans="1:10" x14ac:dyDescent="0.2">
      <c r="A427" s="3">
        <v>426</v>
      </c>
      <c r="B427" t="s">
        <v>159</v>
      </c>
      <c r="C427" s="1">
        <v>244348</v>
      </c>
      <c r="D427" t="s">
        <v>371</v>
      </c>
      <c r="E427" t="s">
        <v>472</v>
      </c>
      <c r="F427" t="s">
        <v>382</v>
      </c>
      <c r="H427" s="2">
        <v>196.26</v>
      </c>
      <c r="I427" s="2">
        <v>-169056.14</v>
      </c>
      <c r="J427" s="2">
        <f t="shared" si="6"/>
        <v>-196.26</v>
      </c>
    </row>
    <row r="428" spans="1:10" x14ac:dyDescent="0.2">
      <c r="A428" s="3">
        <v>427</v>
      </c>
      <c r="B428" t="s">
        <v>218</v>
      </c>
      <c r="C428" s="1">
        <v>244348</v>
      </c>
      <c r="D428" t="s">
        <v>371</v>
      </c>
      <c r="E428" t="s">
        <v>472</v>
      </c>
      <c r="F428" t="s">
        <v>417</v>
      </c>
      <c r="H428" s="2">
        <v>196.26</v>
      </c>
      <c r="I428" s="2">
        <v>-169252.4</v>
      </c>
      <c r="J428" s="2">
        <f t="shared" si="6"/>
        <v>-196.26</v>
      </c>
    </row>
    <row r="429" spans="1:10" x14ac:dyDescent="0.2">
      <c r="A429" s="3">
        <v>428</v>
      </c>
      <c r="B429" t="s">
        <v>255</v>
      </c>
      <c r="C429" s="1">
        <v>244348</v>
      </c>
      <c r="D429" t="s">
        <v>371</v>
      </c>
      <c r="E429" t="s">
        <v>472</v>
      </c>
      <c r="F429" t="s">
        <v>468</v>
      </c>
      <c r="H429" s="2">
        <v>65.42</v>
      </c>
      <c r="I429" s="2">
        <v>-169317.82</v>
      </c>
      <c r="J429" s="2">
        <f t="shared" si="6"/>
        <v>-65.42</v>
      </c>
    </row>
    <row r="430" spans="1:10" x14ac:dyDescent="0.2">
      <c r="A430" s="3">
        <v>429</v>
      </c>
      <c r="B430" t="s">
        <v>308</v>
      </c>
      <c r="C430" s="1">
        <v>244348</v>
      </c>
      <c r="D430" t="s">
        <v>371</v>
      </c>
      <c r="E430" t="s">
        <v>472</v>
      </c>
      <c r="F430" t="s">
        <v>441</v>
      </c>
      <c r="H430" s="2">
        <v>196.26</v>
      </c>
      <c r="I430" s="2">
        <v>-169514.08</v>
      </c>
      <c r="J430" s="2">
        <f t="shared" si="6"/>
        <v>-196.26</v>
      </c>
    </row>
    <row r="431" spans="1:10" x14ac:dyDescent="0.2">
      <c r="A431" s="3">
        <v>430</v>
      </c>
      <c r="B431" t="s">
        <v>482</v>
      </c>
      <c r="C431" s="1">
        <v>244348</v>
      </c>
      <c r="D431" t="s">
        <v>371</v>
      </c>
      <c r="E431" t="s">
        <v>472</v>
      </c>
      <c r="F431" t="s">
        <v>379</v>
      </c>
      <c r="H431" s="2">
        <v>327.10000000000002</v>
      </c>
      <c r="I431" s="2">
        <v>-169841.18</v>
      </c>
      <c r="J431" s="2">
        <f t="shared" si="6"/>
        <v>-327.10000000000002</v>
      </c>
    </row>
    <row r="432" spans="1:10" x14ac:dyDescent="0.2">
      <c r="A432" s="3">
        <v>431</v>
      </c>
      <c r="B432" t="s">
        <v>254</v>
      </c>
      <c r="C432" s="1">
        <v>244348</v>
      </c>
      <c r="D432" t="s">
        <v>371</v>
      </c>
      <c r="E432" t="s">
        <v>472</v>
      </c>
      <c r="F432" t="s">
        <v>469</v>
      </c>
      <c r="H432" s="2">
        <v>196.26</v>
      </c>
      <c r="I432" s="2">
        <v>-170037.44</v>
      </c>
      <c r="J432" s="2">
        <f t="shared" si="6"/>
        <v>-196.26</v>
      </c>
    </row>
    <row r="433" spans="1:10" x14ac:dyDescent="0.2">
      <c r="A433" s="3">
        <v>432</v>
      </c>
      <c r="B433" t="s">
        <v>324</v>
      </c>
      <c r="C433" s="1">
        <v>244348</v>
      </c>
      <c r="D433" t="s">
        <v>371</v>
      </c>
      <c r="E433" t="s">
        <v>472</v>
      </c>
      <c r="F433" t="s">
        <v>452</v>
      </c>
      <c r="H433" s="2">
        <v>196.26</v>
      </c>
      <c r="I433" s="2">
        <v>-170233.7</v>
      </c>
      <c r="J433" s="2">
        <f t="shared" si="6"/>
        <v>-196.26</v>
      </c>
    </row>
    <row r="434" spans="1:10" x14ac:dyDescent="0.2">
      <c r="A434" s="3">
        <v>433</v>
      </c>
      <c r="B434" t="s">
        <v>339</v>
      </c>
      <c r="C434" s="1">
        <v>244348</v>
      </c>
      <c r="D434" t="s">
        <v>371</v>
      </c>
      <c r="E434" t="s">
        <v>472</v>
      </c>
      <c r="F434" t="s">
        <v>461</v>
      </c>
      <c r="H434" s="2">
        <v>327.10000000000002</v>
      </c>
      <c r="I434" s="2">
        <v>-170560.8</v>
      </c>
      <c r="J434" s="2">
        <f t="shared" si="6"/>
        <v>-327.10000000000002</v>
      </c>
    </row>
    <row r="435" spans="1:10" x14ac:dyDescent="0.2">
      <c r="A435" s="3">
        <v>434</v>
      </c>
      <c r="B435" t="s">
        <v>484</v>
      </c>
      <c r="C435" s="1">
        <v>244348</v>
      </c>
      <c r="D435" t="s">
        <v>371</v>
      </c>
      <c r="E435" t="s">
        <v>472</v>
      </c>
      <c r="F435" t="s">
        <v>380</v>
      </c>
      <c r="H435" s="2">
        <v>196.26</v>
      </c>
      <c r="I435" s="2">
        <v>-170757.06</v>
      </c>
      <c r="J435" s="2">
        <f t="shared" si="6"/>
        <v>-196.26</v>
      </c>
    </row>
    <row r="436" spans="1:10" x14ac:dyDescent="0.2">
      <c r="A436" s="3">
        <v>435</v>
      </c>
      <c r="B436" t="s">
        <v>171</v>
      </c>
      <c r="C436" s="1">
        <v>244348</v>
      </c>
      <c r="D436" t="s">
        <v>371</v>
      </c>
      <c r="E436" t="s">
        <v>472</v>
      </c>
      <c r="F436" t="s">
        <v>389</v>
      </c>
      <c r="H436" s="2">
        <v>65.42</v>
      </c>
      <c r="I436" s="2">
        <v>-170822.48</v>
      </c>
      <c r="J436" s="2">
        <f t="shared" si="6"/>
        <v>-65.42</v>
      </c>
    </row>
    <row r="437" spans="1:10" x14ac:dyDescent="0.2">
      <c r="A437" s="3">
        <v>436</v>
      </c>
      <c r="B437" t="s">
        <v>306</v>
      </c>
      <c r="C437" s="1">
        <v>244348</v>
      </c>
      <c r="D437" t="s">
        <v>371</v>
      </c>
      <c r="E437" t="s">
        <v>472</v>
      </c>
      <c r="F437" t="s">
        <v>439</v>
      </c>
      <c r="H437" s="2">
        <v>196.26</v>
      </c>
      <c r="I437" s="2">
        <v>-171018.74</v>
      </c>
      <c r="J437" s="2">
        <f t="shared" si="6"/>
        <v>-196.26</v>
      </c>
    </row>
    <row r="438" spans="1:10" x14ac:dyDescent="0.2">
      <c r="A438" s="3">
        <v>437</v>
      </c>
      <c r="B438" t="s">
        <v>482</v>
      </c>
      <c r="C438" s="1">
        <v>244349</v>
      </c>
      <c r="D438" t="s">
        <v>18</v>
      </c>
      <c r="E438" t="s">
        <v>481</v>
      </c>
      <c r="F438" t="s">
        <v>482</v>
      </c>
      <c r="G438" s="2">
        <v>5000</v>
      </c>
      <c r="I438" s="2">
        <v>-166018.74</v>
      </c>
      <c r="J438" s="2">
        <f t="shared" si="6"/>
        <v>5000</v>
      </c>
    </row>
    <row r="439" spans="1:10" x14ac:dyDescent="0.2">
      <c r="A439" s="3">
        <v>438</v>
      </c>
      <c r="B439" t="s">
        <v>484</v>
      </c>
      <c r="C439" s="1">
        <v>244349</v>
      </c>
      <c r="D439" t="s">
        <v>18</v>
      </c>
      <c r="E439" t="s">
        <v>483</v>
      </c>
      <c r="F439" t="s">
        <v>484</v>
      </c>
      <c r="G439" s="2">
        <v>3000</v>
      </c>
      <c r="I439" s="2">
        <v>-163018.74</v>
      </c>
      <c r="J439" s="2">
        <f t="shared" si="6"/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4A57-871B-4FB2-8475-53375A4BC065}">
  <dimension ref="A1:F61"/>
  <sheetViews>
    <sheetView workbookViewId="0">
      <selection activeCell="M15" sqref="M15"/>
    </sheetView>
  </sheetViews>
  <sheetFormatPr defaultRowHeight="14.25" x14ac:dyDescent="0.2"/>
  <cols>
    <col min="1" max="1" width="7" customWidth="1"/>
    <col min="2" max="2" width="10.75" bestFit="1" customWidth="1"/>
    <col min="3" max="3" width="13.875" bestFit="1" customWidth="1"/>
    <col min="4" max="4" width="36.25" bestFit="1" customWidth="1"/>
    <col min="5" max="5" width="14.625" style="2" customWidth="1"/>
    <col min="6" max="6" width="14.875" customWidth="1"/>
  </cols>
  <sheetData>
    <row r="1" spans="1:6" x14ac:dyDescent="0.2">
      <c r="A1" s="79" t="s">
        <v>590</v>
      </c>
      <c r="B1" s="79"/>
      <c r="C1" s="79"/>
      <c r="D1" s="79"/>
      <c r="E1" s="79"/>
      <c r="F1" s="79"/>
    </row>
    <row r="2" spans="1:6" x14ac:dyDescent="0.2">
      <c r="A2" s="79" t="s">
        <v>591</v>
      </c>
      <c r="B2" s="79"/>
      <c r="C2" s="79"/>
      <c r="D2" s="79"/>
      <c r="E2" s="79"/>
      <c r="F2" s="79"/>
    </row>
    <row r="3" spans="1:6" x14ac:dyDescent="0.2">
      <c r="A3" s="80" t="s">
        <v>592</v>
      </c>
      <c r="B3" s="80"/>
      <c r="C3" s="80"/>
      <c r="D3" s="80"/>
      <c r="E3" s="80"/>
      <c r="F3" s="80"/>
    </row>
    <row r="4" spans="1:6" x14ac:dyDescent="0.2">
      <c r="A4" s="17" t="s">
        <v>593</v>
      </c>
      <c r="B4" s="17"/>
      <c r="C4" s="17"/>
      <c r="D4" s="17"/>
      <c r="E4" s="69"/>
      <c r="F4" s="70" t="s">
        <v>594</v>
      </c>
    </row>
    <row r="5" spans="1:6" x14ac:dyDescent="0.2">
      <c r="A5" s="21" t="s">
        <v>491</v>
      </c>
      <c r="B5" s="21" t="s">
        <v>9</v>
      </c>
      <c r="C5" s="21" t="s">
        <v>586</v>
      </c>
      <c r="D5" s="21" t="s">
        <v>587</v>
      </c>
      <c r="E5" s="22" t="s">
        <v>588</v>
      </c>
      <c r="F5" s="21" t="s">
        <v>589</v>
      </c>
    </row>
    <row r="6" spans="1:6" x14ac:dyDescent="0.2">
      <c r="A6" s="18">
        <v>1</v>
      </c>
      <c r="B6" s="19">
        <v>244264</v>
      </c>
      <c r="C6" s="20" t="s">
        <v>582</v>
      </c>
      <c r="D6" s="20" t="s">
        <v>584</v>
      </c>
      <c r="E6" s="23">
        <v>-1869.16</v>
      </c>
      <c r="F6" s="20"/>
    </row>
    <row r="7" spans="1:6" x14ac:dyDescent="0.2">
      <c r="A7" s="18">
        <v>2</v>
      </c>
      <c r="B7" s="19">
        <v>244272</v>
      </c>
      <c r="C7" s="20" t="s">
        <v>583</v>
      </c>
      <c r="D7" s="20" t="s">
        <v>585</v>
      </c>
      <c r="E7" s="23">
        <v>-2803.74</v>
      </c>
      <c r="F7" s="20"/>
    </row>
    <row r="8" spans="1:6" x14ac:dyDescent="0.2">
      <c r="A8" s="18">
        <v>3</v>
      </c>
      <c r="B8" s="19">
        <v>244321</v>
      </c>
      <c r="C8" s="20" t="s">
        <v>502</v>
      </c>
      <c r="D8" s="20" t="s">
        <v>503</v>
      </c>
      <c r="E8" s="23">
        <v>-1869.16</v>
      </c>
      <c r="F8" s="20"/>
    </row>
    <row r="9" spans="1:6" x14ac:dyDescent="0.2">
      <c r="A9" s="18">
        <v>4</v>
      </c>
      <c r="B9" s="19">
        <v>244321</v>
      </c>
      <c r="C9" s="20" t="s">
        <v>504</v>
      </c>
      <c r="D9" s="20" t="s">
        <v>505</v>
      </c>
      <c r="E9" s="23">
        <v>-1869.16</v>
      </c>
      <c r="F9" s="20"/>
    </row>
    <row r="10" spans="1:6" x14ac:dyDescent="0.2">
      <c r="A10" s="18">
        <v>5</v>
      </c>
      <c r="B10" s="19">
        <v>244322</v>
      </c>
      <c r="C10" s="20" t="s">
        <v>506</v>
      </c>
      <c r="D10" s="20" t="s">
        <v>507</v>
      </c>
      <c r="E10" s="23">
        <v>-2803.74</v>
      </c>
      <c r="F10" s="20"/>
    </row>
    <row r="11" spans="1:6" x14ac:dyDescent="0.2">
      <c r="A11" s="18">
        <v>6</v>
      </c>
      <c r="B11" s="19">
        <v>244295</v>
      </c>
      <c r="C11" s="20" t="s">
        <v>508</v>
      </c>
      <c r="D11" s="20" t="s">
        <v>509</v>
      </c>
      <c r="E11" s="23">
        <v>-2803.74</v>
      </c>
      <c r="F11" s="20"/>
    </row>
    <row r="12" spans="1:6" x14ac:dyDescent="0.2">
      <c r="A12" s="18">
        <v>7</v>
      </c>
      <c r="B12" s="19">
        <v>244305</v>
      </c>
      <c r="C12" s="20" t="s">
        <v>510</v>
      </c>
      <c r="D12" s="20" t="s">
        <v>511</v>
      </c>
      <c r="E12" s="23">
        <v>-2803.74</v>
      </c>
      <c r="F12" s="20"/>
    </row>
    <row r="13" spans="1:6" x14ac:dyDescent="0.2">
      <c r="A13" s="18">
        <v>8</v>
      </c>
      <c r="B13" s="19">
        <v>244312</v>
      </c>
      <c r="C13" s="20" t="s">
        <v>512</v>
      </c>
      <c r="D13" s="20" t="s">
        <v>513</v>
      </c>
      <c r="E13" s="23">
        <v>-4672.8999999999996</v>
      </c>
      <c r="F13" s="20"/>
    </row>
    <row r="14" spans="1:6" x14ac:dyDescent="0.2">
      <c r="A14" s="18">
        <v>9</v>
      </c>
      <c r="B14" s="19">
        <v>244317</v>
      </c>
      <c r="C14" s="20" t="s">
        <v>514</v>
      </c>
      <c r="D14" s="20" t="s">
        <v>515</v>
      </c>
      <c r="E14" s="23">
        <v>-2803.74</v>
      </c>
      <c r="F14" s="20"/>
    </row>
    <row r="15" spans="1:6" x14ac:dyDescent="0.2">
      <c r="A15" s="18">
        <v>10</v>
      </c>
      <c r="B15" s="19">
        <v>244324</v>
      </c>
      <c r="C15" s="20" t="s">
        <v>516</v>
      </c>
      <c r="D15" s="20" t="s">
        <v>517</v>
      </c>
      <c r="E15" s="23">
        <v>-2803.74</v>
      </c>
      <c r="F15" s="20"/>
    </row>
    <row r="16" spans="1:6" x14ac:dyDescent="0.2">
      <c r="A16" s="18">
        <v>11</v>
      </c>
      <c r="B16" s="19">
        <v>244324</v>
      </c>
      <c r="C16" s="20" t="s">
        <v>518</v>
      </c>
      <c r="D16" s="20" t="s">
        <v>390</v>
      </c>
      <c r="E16" s="23">
        <v>-2803.74</v>
      </c>
      <c r="F16" s="20"/>
    </row>
    <row r="17" spans="1:6" x14ac:dyDescent="0.2">
      <c r="A17" s="18">
        <v>12</v>
      </c>
      <c r="B17" s="19">
        <v>244327</v>
      </c>
      <c r="C17" s="20" t="s">
        <v>519</v>
      </c>
      <c r="D17" s="20" t="s">
        <v>520</v>
      </c>
      <c r="E17" s="23">
        <v>-28037.38</v>
      </c>
      <c r="F17" s="20"/>
    </row>
    <row r="18" spans="1:6" x14ac:dyDescent="0.2">
      <c r="A18" s="18">
        <v>13</v>
      </c>
      <c r="B18" s="19">
        <v>244327</v>
      </c>
      <c r="C18" s="20" t="s">
        <v>521</v>
      </c>
      <c r="D18" s="20" t="s">
        <v>397</v>
      </c>
      <c r="E18" s="23">
        <v>-934.58</v>
      </c>
      <c r="F18" s="20"/>
    </row>
    <row r="19" spans="1:6" x14ac:dyDescent="0.2">
      <c r="A19" s="18">
        <v>14</v>
      </c>
      <c r="B19" s="19">
        <v>244329</v>
      </c>
      <c r="C19" s="20" t="s">
        <v>522</v>
      </c>
      <c r="D19" s="20" t="s">
        <v>399</v>
      </c>
      <c r="E19" s="23">
        <v>-2803.74</v>
      </c>
      <c r="F19" s="20"/>
    </row>
    <row r="20" spans="1:6" x14ac:dyDescent="0.2">
      <c r="A20" s="18">
        <v>15</v>
      </c>
      <c r="B20" s="19">
        <v>244329</v>
      </c>
      <c r="C20" s="20" t="s">
        <v>523</v>
      </c>
      <c r="D20" s="20" t="s">
        <v>400</v>
      </c>
      <c r="E20" s="23">
        <v>-2803.74</v>
      </c>
      <c r="F20" s="20"/>
    </row>
    <row r="21" spans="1:6" x14ac:dyDescent="0.2">
      <c r="A21" s="18">
        <v>16</v>
      </c>
      <c r="B21" s="19">
        <v>244330</v>
      </c>
      <c r="C21" s="20" t="s">
        <v>524</v>
      </c>
      <c r="D21" s="20" t="s">
        <v>397</v>
      </c>
      <c r="E21" s="23">
        <v>-934.58</v>
      </c>
      <c r="F21" s="20"/>
    </row>
    <row r="22" spans="1:6" x14ac:dyDescent="0.2">
      <c r="A22" s="18">
        <v>17</v>
      </c>
      <c r="B22" s="19">
        <v>244330</v>
      </c>
      <c r="C22" s="20" t="s">
        <v>525</v>
      </c>
      <c r="D22" s="20" t="s">
        <v>403</v>
      </c>
      <c r="E22" s="23">
        <v>-2803.74</v>
      </c>
      <c r="F22" s="20"/>
    </row>
    <row r="23" spans="1:6" x14ac:dyDescent="0.2">
      <c r="A23" s="18">
        <v>18</v>
      </c>
      <c r="B23" s="19">
        <v>244330</v>
      </c>
      <c r="C23" s="20" t="s">
        <v>526</v>
      </c>
      <c r="D23" s="20" t="s">
        <v>404</v>
      </c>
      <c r="E23" s="23">
        <v>-4672.8999999999996</v>
      </c>
      <c r="F23" s="20"/>
    </row>
    <row r="24" spans="1:6" x14ac:dyDescent="0.2">
      <c r="A24" s="18">
        <v>19</v>
      </c>
      <c r="B24" s="19">
        <v>244330</v>
      </c>
      <c r="C24" s="20" t="s">
        <v>527</v>
      </c>
      <c r="D24" s="20" t="s">
        <v>405</v>
      </c>
      <c r="E24" s="23">
        <v>-2803.74</v>
      </c>
      <c r="F24" s="20"/>
    </row>
    <row r="25" spans="1:6" x14ac:dyDescent="0.2">
      <c r="A25" s="18">
        <v>20</v>
      </c>
      <c r="B25" s="19">
        <v>244330</v>
      </c>
      <c r="C25" s="20" t="s">
        <v>528</v>
      </c>
      <c r="D25" s="20" t="s">
        <v>407</v>
      </c>
      <c r="E25" s="23">
        <v>-3271.03</v>
      </c>
      <c r="F25" s="20"/>
    </row>
    <row r="26" spans="1:6" x14ac:dyDescent="0.2">
      <c r="A26" s="18">
        <v>21</v>
      </c>
      <c r="B26" s="19">
        <v>244333</v>
      </c>
      <c r="C26" s="20" t="s">
        <v>529</v>
      </c>
      <c r="D26" s="20" t="s">
        <v>413</v>
      </c>
      <c r="E26" s="23">
        <v>-2803.74</v>
      </c>
      <c r="F26" s="20"/>
    </row>
    <row r="27" spans="1:6" x14ac:dyDescent="0.2">
      <c r="A27" s="18">
        <v>22</v>
      </c>
      <c r="B27" s="19">
        <v>244333</v>
      </c>
      <c r="C27" s="20" t="s">
        <v>530</v>
      </c>
      <c r="D27" s="20" t="s">
        <v>414</v>
      </c>
      <c r="E27" s="23">
        <v>-4672.8999999999996</v>
      </c>
      <c r="F27" s="20"/>
    </row>
    <row r="28" spans="1:6" x14ac:dyDescent="0.2">
      <c r="A28" s="18">
        <v>23</v>
      </c>
      <c r="B28" s="19">
        <v>244337</v>
      </c>
      <c r="C28" s="20" t="s">
        <v>531</v>
      </c>
      <c r="D28" s="20" t="s">
        <v>426</v>
      </c>
      <c r="E28" s="23">
        <v>-4672.8999999999996</v>
      </c>
      <c r="F28" s="20"/>
    </row>
    <row r="29" spans="1:6" x14ac:dyDescent="0.2">
      <c r="A29" s="18">
        <v>24</v>
      </c>
      <c r="B29" s="19">
        <v>244337</v>
      </c>
      <c r="C29" s="20" t="s">
        <v>532</v>
      </c>
      <c r="D29" s="20" t="s">
        <v>427</v>
      </c>
      <c r="E29" s="23">
        <v>-2803.74</v>
      </c>
      <c r="F29" s="20"/>
    </row>
    <row r="30" spans="1:6" x14ac:dyDescent="0.2">
      <c r="A30" s="18">
        <v>25</v>
      </c>
      <c r="B30" s="19">
        <v>244337</v>
      </c>
      <c r="C30" s="20" t="s">
        <v>533</v>
      </c>
      <c r="D30" s="20" t="s">
        <v>534</v>
      </c>
      <c r="E30" s="23">
        <v>-934.58</v>
      </c>
      <c r="F30" s="20"/>
    </row>
    <row r="31" spans="1:6" x14ac:dyDescent="0.2">
      <c r="A31" s="18">
        <v>26</v>
      </c>
      <c r="B31" s="19">
        <v>244337</v>
      </c>
      <c r="C31" s="20" t="s">
        <v>535</v>
      </c>
      <c r="D31" s="20" t="s">
        <v>467</v>
      </c>
      <c r="E31" s="23">
        <v>-934.58</v>
      </c>
      <c r="F31" s="20"/>
    </row>
    <row r="32" spans="1:6" x14ac:dyDescent="0.2">
      <c r="A32" s="18">
        <v>27</v>
      </c>
      <c r="B32" s="19">
        <v>244338</v>
      </c>
      <c r="C32" s="20" t="s">
        <v>536</v>
      </c>
      <c r="D32" s="20" t="s">
        <v>471</v>
      </c>
      <c r="E32" s="23">
        <v>-9345.7900000000009</v>
      </c>
      <c r="F32" s="20"/>
    </row>
    <row r="33" spans="1:6" x14ac:dyDescent="0.2">
      <c r="A33" s="18">
        <v>28</v>
      </c>
      <c r="B33" s="19">
        <v>244338</v>
      </c>
      <c r="C33" s="20" t="s">
        <v>537</v>
      </c>
      <c r="D33" s="20" t="s">
        <v>428</v>
      </c>
      <c r="E33" s="23">
        <v>-934.58</v>
      </c>
      <c r="F33" s="20"/>
    </row>
    <row r="34" spans="1:6" x14ac:dyDescent="0.2">
      <c r="A34" s="18">
        <v>29</v>
      </c>
      <c r="B34" s="19">
        <v>244338</v>
      </c>
      <c r="C34" s="20" t="s">
        <v>538</v>
      </c>
      <c r="D34" s="20" t="s">
        <v>429</v>
      </c>
      <c r="E34" s="23">
        <v>-2803.74</v>
      </c>
      <c r="F34" s="20"/>
    </row>
    <row r="35" spans="1:6" x14ac:dyDescent="0.2">
      <c r="A35" s="18">
        <v>30</v>
      </c>
      <c r="B35" s="19">
        <v>244338</v>
      </c>
      <c r="C35" s="20" t="s">
        <v>539</v>
      </c>
      <c r="D35" s="20" t="s">
        <v>540</v>
      </c>
      <c r="E35" s="23">
        <v>-9345.7900000000009</v>
      </c>
      <c r="F35" s="20"/>
    </row>
    <row r="36" spans="1:6" x14ac:dyDescent="0.2">
      <c r="A36" s="18">
        <v>31</v>
      </c>
      <c r="B36" s="19">
        <v>244338</v>
      </c>
      <c r="C36" s="20" t="s">
        <v>541</v>
      </c>
      <c r="D36" s="20" t="s">
        <v>542</v>
      </c>
      <c r="E36" s="23">
        <v>-934.58</v>
      </c>
      <c r="F36" s="20"/>
    </row>
    <row r="37" spans="1:6" x14ac:dyDescent="0.2">
      <c r="A37" s="18">
        <v>32</v>
      </c>
      <c r="B37" s="19">
        <v>244338</v>
      </c>
      <c r="C37" s="20" t="s">
        <v>543</v>
      </c>
      <c r="D37" s="20" t="s">
        <v>544</v>
      </c>
      <c r="E37" s="23">
        <v>-934.58</v>
      </c>
      <c r="F37" s="20"/>
    </row>
    <row r="38" spans="1:6" x14ac:dyDescent="0.2">
      <c r="A38" s="18">
        <v>33</v>
      </c>
      <c r="B38" s="19">
        <v>244342</v>
      </c>
      <c r="C38" s="20" t="s">
        <v>545</v>
      </c>
      <c r="D38" s="20" t="s">
        <v>546</v>
      </c>
      <c r="E38" s="23">
        <v>-1869.16</v>
      </c>
      <c r="F38" s="20"/>
    </row>
    <row r="39" spans="1:6" x14ac:dyDescent="0.2">
      <c r="A39" s="18">
        <v>34</v>
      </c>
      <c r="B39" s="19">
        <v>244342</v>
      </c>
      <c r="C39" s="20" t="s">
        <v>547</v>
      </c>
      <c r="D39" s="20" t="s">
        <v>548</v>
      </c>
      <c r="E39" s="23">
        <v>-2803.74</v>
      </c>
      <c r="F39" s="20"/>
    </row>
    <row r="40" spans="1:6" x14ac:dyDescent="0.2">
      <c r="A40" s="18">
        <v>35</v>
      </c>
      <c r="B40" s="19">
        <v>244342</v>
      </c>
      <c r="C40" s="20" t="s">
        <v>549</v>
      </c>
      <c r="D40" s="20" t="s">
        <v>550</v>
      </c>
      <c r="E40" s="23">
        <v>-1869.16</v>
      </c>
      <c r="F40" s="20"/>
    </row>
    <row r="41" spans="1:6" x14ac:dyDescent="0.2">
      <c r="A41" s="18">
        <v>36</v>
      </c>
      <c r="B41" s="19">
        <v>244342</v>
      </c>
      <c r="C41" s="20" t="s">
        <v>551</v>
      </c>
      <c r="D41" s="20" t="s">
        <v>447</v>
      </c>
      <c r="E41" s="23">
        <v>-934.58</v>
      </c>
      <c r="F41" s="20"/>
    </row>
    <row r="42" spans="1:6" x14ac:dyDescent="0.2">
      <c r="A42" s="18">
        <v>37</v>
      </c>
      <c r="B42" s="19">
        <v>244342</v>
      </c>
      <c r="C42" s="20" t="s">
        <v>552</v>
      </c>
      <c r="D42" s="20" t="s">
        <v>553</v>
      </c>
      <c r="E42" s="23">
        <v>-2803.74</v>
      </c>
      <c r="F42" s="20"/>
    </row>
    <row r="43" spans="1:6" x14ac:dyDescent="0.2">
      <c r="A43" s="18">
        <v>38</v>
      </c>
      <c r="B43" s="19">
        <v>244342</v>
      </c>
      <c r="C43" s="20" t="s">
        <v>554</v>
      </c>
      <c r="D43" s="20" t="s">
        <v>555</v>
      </c>
      <c r="E43" s="23">
        <v>-2803.74</v>
      </c>
      <c r="F43" s="20"/>
    </row>
    <row r="44" spans="1:6" x14ac:dyDescent="0.2">
      <c r="A44" s="18">
        <v>39</v>
      </c>
      <c r="B44" s="19">
        <v>244342</v>
      </c>
      <c r="C44" s="20" t="s">
        <v>556</v>
      </c>
      <c r="D44" s="20" t="s">
        <v>557</v>
      </c>
      <c r="E44" s="23">
        <v>-9345.7900000000009</v>
      </c>
      <c r="F44" s="20"/>
    </row>
    <row r="45" spans="1:6" x14ac:dyDescent="0.2">
      <c r="A45" s="18">
        <v>40</v>
      </c>
      <c r="B45" s="19">
        <v>244342</v>
      </c>
      <c r="C45" s="20" t="s">
        <v>558</v>
      </c>
      <c r="D45" s="20" t="s">
        <v>559</v>
      </c>
      <c r="E45" s="23">
        <v>-2803.74</v>
      </c>
      <c r="F45" s="20"/>
    </row>
    <row r="46" spans="1:6" x14ac:dyDescent="0.2">
      <c r="A46" s="18">
        <v>41</v>
      </c>
      <c r="B46" s="19">
        <v>244343</v>
      </c>
      <c r="C46" s="20" t="s">
        <v>560</v>
      </c>
      <c r="D46" s="20" t="s">
        <v>561</v>
      </c>
      <c r="E46" s="23">
        <v>-1869.16</v>
      </c>
      <c r="F46" s="20"/>
    </row>
    <row r="47" spans="1:6" x14ac:dyDescent="0.2">
      <c r="A47" s="18">
        <v>42</v>
      </c>
      <c r="B47" s="19">
        <v>244343</v>
      </c>
      <c r="C47" s="20" t="s">
        <v>562</v>
      </c>
      <c r="D47" s="20" t="s">
        <v>563</v>
      </c>
      <c r="E47" s="23">
        <v>-4672.8999999999996</v>
      </c>
      <c r="F47" s="20"/>
    </row>
    <row r="48" spans="1:6" x14ac:dyDescent="0.2">
      <c r="A48" s="18">
        <v>43</v>
      </c>
      <c r="B48" s="19">
        <v>244343</v>
      </c>
      <c r="C48" s="20" t="s">
        <v>564</v>
      </c>
      <c r="D48" s="20" t="s">
        <v>565</v>
      </c>
      <c r="E48" s="23">
        <v>-1869.16</v>
      </c>
      <c r="F48" s="20"/>
    </row>
    <row r="49" spans="1:6" x14ac:dyDescent="0.2">
      <c r="A49" s="18">
        <v>44</v>
      </c>
      <c r="B49" s="19">
        <v>244343</v>
      </c>
      <c r="C49" s="20" t="s">
        <v>566</v>
      </c>
      <c r="D49" s="20" t="s">
        <v>567</v>
      </c>
      <c r="E49" s="23">
        <v>-1869.16</v>
      </c>
      <c r="F49" s="20"/>
    </row>
    <row r="50" spans="1:6" x14ac:dyDescent="0.2">
      <c r="A50" s="18">
        <v>45</v>
      </c>
      <c r="B50" s="19">
        <v>244343</v>
      </c>
      <c r="C50" s="20" t="s">
        <v>568</v>
      </c>
      <c r="D50" s="20" t="s">
        <v>457</v>
      </c>
      <c r="E50" s="23">
        <v>-1869.16</v>
      </c>
      <c r="F50" s="20"/>
    </row>
    <row r="51" spans="1:6" x14ac:dyDescent="0.2">
      <c r="A51" s="18">
        <v>46</v>
      </c>
      <c r="B51" s="19">
        <v>244343</v>
      </c>
      <c r="C51" s="20" t="s">
        <v>569</v>
      </c>
      <c r="D51" s="20" t="s">
        <v>570</v>
      </c>
      <c r="E51" s="23">
        <v>-2803.74</v>
      </c>
      <c r="F51" s="20"/>
    </row>
    <row r="52" spans="1:6" x14ac:dyDescent="0.2">
      <c r="A52" s="18">
        <v>47</v>
      </c>
      <c r="B52" s="19">
        <v>244343</v>
      </c>
      <c r="C52" s="20" t="s">
        <v>571</v>
      </c>
      <c r="D52" s="20" t="s">
        <v>572</v>
      </c>
      <c r="E52" s="23">
        <v>-1869.16</v>
      </c>
      <c r="F52" s="20"/>
    </row>
    <row r="53" spans="1:6" x14ac:dyDescent="0.2">
      <c r="A53" s="18">
        <v>48</v>
      </c>
      <c r="B53" s="19">
        <v>244344</v>
      </c>
      <c r="C53" s="20" t="s">
        <v>573</v>
      </c>
      <c r="D53" s="20" t="s">
        <v>460</v>
      </c>
      <c r="E53" s="23">
        <v>-2803.74</v>
      </c>
      <c r="F53" s="20"/>
    </row>
    <row r="54" spans="1:6" x14ac:dyDescent="0.2">
      <c r="A54" s="18">
        <v>49</v>
      </c>
      <c r="B54" s="19">
        <v>244344</v>
      </c>
      <c r="C54" s="20" t="s">
        <v>574</v>
      </c>
      <c r="D54" s="20" t="s">
        <v>575</v>
      </c>
      <c r="E54" s="23">
        <v>-2803.74</v>
      </c>
      <c r="F54" s="20"/>
    </row>
    <row r="55" spans="1:6" x14ac:dyDescent="0.2">
      <c r="A55" s="18">
        <v>50</v>
      </c>
      <c r="B55" s="19">
        <v>244344</v>
      </c>
      <c r="C55" s="20" t="s">
        <v>574</v>
      </c>
      <c r="D55" s="20" t="s">
        <v>463</v>
      </c>
      <c r="E55" s="23">
        <v>-2803.74</v>
      </c>
      <c r="F55" s="20"/>
    </row>
    <row r="56" spans="1:6" x14ac:dyDescent="0.2">
      <c r="A56" s="18">
        <v>51</v>
      </c>
      <c r="B56" s="19">
        <v>244345</v>
      </c>
      <c r="C56" s="20" t="s">
        <v>576</v>
      </c>
      <c r="D56" s="20" t="s">
        <v>464</v>
      </c>
      <c r="E56" s="23">
        <v>-2803.74</v>
      </c>
      <c r="F56" s="20"/>
    </row>
    <row r="57" spans="1:6" x14ac:dyDescent="0.2">
      <c r="A57" s="18">
        <v>52</v>
      </c>
      <c r="B57" s="19">
        <v>244345</v>
      </c>
      <c r="C57" s="20" t="s">
        <v>577</v>
      </c>
      <c r="D57" s="20" t="s">
        <v>465</v>
      </c>
      <c r="E57" s="23">
        <v>-1869.16</v>
      </c>
      <c r="F57" s="20"/>
    </row>
    <row r="58" spans="1:6" x14ac:dyDescent="0.2">
      <c r="A58" s="18">
        <v>53</v>
      </c>
      <c r="B58" s="19">
        <v>244342</v>
      </c>
      <c r="C58" s="20" t="s">
        <v>578</v>
      </c>
      <c r="D58" s="20" t="s">
        <v>579</v>
      </c>
      <c r="E58" s="23">
        <v>-934.58</v>
      </c>
      <c r="F58" s="20"/>
    </row>
    <row r="59" spans="1:6" x14ac:dyDescent="0.2">
      <c r="A59" s="18">
        <v>54</v>
      </c>
      <c r="B59" s="19">
        <v>244342</v>
      </c>
      <c r="C59" s="20" t="s">
        <v>580</v>
      </c>
      <c r="D59" s="20" t="s">
        <v>581</v>
      </c>
      <c r="E59" s="23">
        <v>-934.58</v>
      </c>
      <c r="F59" s="20"/>
    </row>
    <row r="60" spans="1:6" ht="15" thickBot="1" x14ac:dyDescent="0.25">
      <c r="A60" s="76" t="s">
        <v>498</v>
      </c>
      <c r="B60" s="77"/>
      <c r="C60" s="78"/>
      <c r="D60" s="20"/>
      <c r="E60" s="24">
        <f>SUM(E6:E59)</f>
        <v>-177102.86</v>
      </c>
      <c r="F60" s="20"/>
    </row>
    <row r="61" spans="1:6" ht="15" thickTop="1" x14ac:dyDescent="0.2"/>
  </sheetData>
  <mergeCells count="4">
    <mergeCell ref="A60:C60"/>
    <mergeCell ref="A1:F1"/>
    <mergeCell ref="A2:F2"/>
    <mergeCell ref="A3:F3"/>
  </mergeCells>
  <pageMargins left="0.23622047244094491" right="0.23622047244094491" top="0.39370078740157483" bottom="0.3937007874015748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FE7F-2E43-4017-BAB2-460C5A068189}">
  <dimension ref="A1:F32"/>
  <sheetViews>
    <sheetView workbookViewId="0">
      <selection activeCell="F6" sqref="F6"/>
    </sheetView>
  </sheetViews>
  <sheetFormatPr defaultColWidth="9.125" defaultRowHeight="14.25" x14ac:dyDescent="0.2"/>
  <cols>
    <col min="1" max="1" width="14.875" style="25" customWidth="1"/>
    <col min="2" max="2" width="10.125" style="25" bestFit="1" customWidth="1"/>
    <col min="3" max="3" width="7.625" style="25" customWidth="1"/>
    <col min="4" max="4" width="9.125" style="25"/>
    <col min="5" max="5" width="20.875" style="25" customWidth="1"/>
    <col min="6" max="6" width="33.375" style="25" customWidth="1"/>
    <col min="7" max="16384" width="9.125" style="25"/>
  </cols>
  <sheetData>
    <row r="1" spans="1:6" ht="15" thickBot="1" x14ac:dyDescent="0.25"/>
    <row r="2" spans="1:6" x14ac:dyDescent="0.2">
      <c r="A2" s="26"/>
      <c r="B2" s="26"/>
      <c r="C2" s="26"/>
      <c r="D2" s="26"/>
      <c r="E2" s="26"/>
      <c r="F2" s="71" t="s">
        <v>609</v>
      </c>
    </row>
    <row r="3" spans="1:6" x14ac:dyDescent="0.2">
      <c r="A3" s="26"/>
      <c r="B3" s="26"/>
      <c r="C3" s="26"/>
      <c r="D3" s="26"/>
      <c r="E3" s="26"/>
      <c r="F3" s="72"/>
    </row>
    <row r="4" spans="1:6" x14ac:dyDescent="0.2">
      <c r="A4" s="26"/>
      <c r="B4" s="26"/>
      <c r="C4" s="26"/>
      <c r="D4" s="26"/>
      <c r="E4" s="26"/>
      <c r="F4" s="72"/>
    </row>
    <row r="5" spans="1:6" ht="15" thickBot="1" x14ac:dyDescent="0.25">
      <c r="A5" s="26"/>
      <c r="B5" s="26"/>
      <c r="C5" s="26"/>
      <c r="D5" s="26"/>
      <c r="E5" s="26"/>
      <c r="F5" s="73"/>
    </row>
    <row r="6" spans="1:6" x14ac:dyDescent="0.2">
      <c r="A6" s="26"/>
      <c r="B6" s="26"/>
      <c r="C6" s="26"/>
      <c r="D6" s="26"/>
      <c r="E6" s="26"/>
      <c r="F6" s="26"/>
    </row>
    <row r="7" spans="1:6" x14ac:dyDescent="0.2">
      <c r="A7" s="74" t="s">
        <v>595</v>
      </c>
      <c r="B7" s="74"/>
      <c r="C7" s="74"/>
      <c r="D7" s="74"/>
      <c r="E7" s="74"/>
      <c r="F7" s="74"/>
    </row>
    <row r="8" spans="1:6" ht="15" thickBot="1" x14ac:dyDescent="0.25">
      <c r="A8" s="75" t="s">
        <v>596</v>
      </c>
      <c r="B8" s="75"/>
      <c r="C8" s="75"/>
      <c r="D8" s="75"/>
      <c r="E8" s="75"/>
      <c r="F8" s="75"/>
    </row>
    <row r="9" spans="1:6" x14ac:dyDescent="0.2">
      <c r="A9" s="27"/>
      <c r="B9" s="28"/>
      <c r="C9" s="28"/>
      <c r="D9" s="28"/>
      <c r="E9" s="28"/>
      <c r="F9" s="29"/>
    </row>
    <row r="10" spans="1:6" x14ac:dyDescent="0.2">
      <c r="A10" s="30" t="s">
        <v>597</v>
      </c>
      <c r="B10" s="31" t="s">
        <v>598</v>
      </c>
      <c r="C10" s="31"/>
      <c r="D10" s="31"/>
      <c r="E10" s="31"/>
      <c r="F10" s="32" t="s">
        <v>599</v>
      </c>
    </row>
    <row r="11" spans="1:6" x14ac:dyDescent="0.2">
      <c r="A11" s="33" t="s">
        <v>607</v>
      </c>
      <c r="B11" s="34" t="s">
        <v>608</v>
      </c>
      <c r="C11" s="34"/>
      <c r="D11" s="35"/>
      <c r="E11" s="35"/>
      <c r="F11" s="36">
        <v>-177102.86</v>
      </c>
    </row>
    <row r="12" spans="1:6" x14ac:dyDescent="0.2">
      <c r="A12" s="37"/>
      <c r="B12" s="34"/>
      <c r="C12" s="38"/>
      <c r="D12" s="35"/>
      <c r="E12" s="35"/>
      <c r="F12" s="36"/>
    </row>
    <row r="13" spans="1:6" x14ac:dyDescent="0.2">
      <c r="A13" s="37"/>
      <c r="B13" s="34"/>
      <c r="C13" s="39"/>
      <c r="D13" s="35"/>
      <c r="E13" s="40"/>
      <c r="F13" s="36"/>
    </row>
    <row r="14" spans="1:6" x14ac:dyDescent="0.2">
      <c r="A14" s="37"/>
      <c r="B14" s="41"/>
      <c r="C14" s="41"/>
      <c r="D14" s="42"/>
      <c r="E14" s="41"/>
      <c r="F14" s="43"/>
    </row>
    <row r="15" spans="1:6" x14ac:dyDescent="0.2">
      <c r="A15" s="37"/>
      <c r="B15" s="41"/>
      <c r="C15" s="41"/>
      <c r="D15" s="42"/>
      <c r="E15" s="41"/>
      <c r="F15" s="43"/>
    </row>
    <row r="16" spans="1:6" x14ac:dyDescent="0.2">
      <c r="A16" s="44"/>
      <c r="B16" s="45"/>
      <c r="C16" s="45"/>
      <c r="D16" s="46"/>
      <c r="E16" s="41"/>
      <c r="F16" s="43"/>
    </row>
    <row r="17" spans="1:6" x14ac:dyDescent="0.2">
      <c r="A17" s="37"/>
      <c r="B17" s="41"/>
      <c r="C17" s="47"/>
      <c r="D17" s="42"/>
      <c r="E17" s="41"/>
      <c r="F17" s="36"/>
    </row>
    <row r="18" spans="1:6" x14ac:dyDescent="0.2">
      <c r="A18" s="37"/>
      <c r="B18" s="41"/>
      <c r="C18" s="35"/>
      <c r="D18" s="48"/>
      <c r="E18" s="35"/>
      <c r="F18" s="49"/>
    </row>
    <row r="19" spans="1:6" x14ac:dyDescent="0.2">
      <c r="A19" s="37"/>
      <c r="B19" s="41"/>
      <c r="C19" s="41"/>
      <c r="D19" s="42"/>
      <c r="E19" s="41"/>
      <c r="F19" s="50"/>
    </row>
    <row r="20" spans="1:6" x14ac:dyDescent="0.2">
      <c r="A20" s="37"/>
      <c r="B20" s="41"/>
      <c r="C20" s="41"/>
      <c r="D20" s="42"/>
      <c r="E20" s="41"/>
      <c r="F20" s="50"/>
    </row>
    <row r="21" spans="1:6" x14ac:dyDescent="0.2">
      <c r="A21" s="37"/>
      <c r="B21" s="41"/>
      <c r="C21" s="41"/>
      <c r="D21" s="42"/>
      <c r="E21" s="41"/>
      <c r="F21" s="51"/>
    </row>
    <row r="22" spans="1:6" ht="15" thickBot="1" x14ac:dyDescent="0.25">
      <c r="A22" s="52" t="s">
        <v>600</v>
      </c>
      <c r="B22" s="41"/>
      <c r="C22" s="42"/>
      <c r="D22" s="42"/>
      <c r="E22" s="41"/>
      <c r="F22" s="53">
        <f>F11</f>
        <v>-177102.86</v>
      </c>
    </row>
    <row r="23" spans="1:6" ht="15" thickTop="1" x14ac:dyDescent="0.2">
      <c r="A23" s="37"/>
      <c r="B23" s="41"/>
      <c r="C23" s="42"/>
      <c r="D23" s="42"/>
      <c r="E23" s="41"/>
      <c r="F23" s="51"/>
    </row>
    <row r="24" spans="1:6" x14ac:dyDescent="0.2">
      <c r="A24" s="37"/>
      <c r="B24" s="41"/>
      <c r="C24" s="42"/>
      <c r="D24" s="42"/>
      <c r="E24" s="41"/>
      <c r="F24" s="51"/>
    </row>
    <row r="25" spans="1:6" x14ac:dyDescent="0.2">
      <c r="A25" s="37"/>
      <c r="B25" s="41"/>
      <c r="C25" s="42"/>
      <c r="D25" s="42"/>
      <c r="E25" s="41"/>
      <c r="F25" s="51"/>
    </row>
    <row r="26" spans="1:6" x14ac:dyDescent="0.2">
      <c r="A26" s="37"/>
      <c r="B26" s="41"/>
      <c r="C26" s="42"/>
      <c r="D26" s="42"/>
      <c r="E26" s="41"/>
      <c r="F26" s="51"/>
    </row>
    <row r="27" spans="1:6" ht="15" thickBot="1" x14ac:dyDescent="0.25">
      <c r="A27" s="54"/>
      <c r="B27" s="55"/>
      <c r="C27" s="55"/>
      <c r="D27" s="56"/>
      <c r="E27" s="55"/>
      <c r="F27" s="57"/>
    </row>
    <row r="28" spans="1:6" x14ac:dyDescent="0.2">
      <c r="A28" s="58" t="s">
        <v>601</v>
      </c>
      <c r="B28" s="59" t="s">
        <v>602</v>
      </c>
      <c r="C28" s="59"/>
      <c r="D28" s="60"/>
      <c r="E28" s="58" t="s">
        <v>603</v>
      </c>
      <c r="F28" s="60" t="s">
        <v>604</v>
      </c>
    </row>
    <row r="29" spans="1:6" ht="15" thickBot="1" x14ac:dyDescent="0.25">
      <c r="A29" s="61"/>
      <c r="B29" s="62"/>
      <c r="C29" s="62"/>
      <c r="D29" s="63"/>
      <c r="E29" s="61"/>
      <c r="F29" s="63"/>
    </row>
    <row r="30" spans="1:6" x14ac:dyDescent="0.2">
      <c r="A30" s="61" t="s">
        <v>605</v>
      </c>
      <c r="B30" s="64">
        <v>244413</v>
      </c>
      <c r="C30" s="62"/>
      <c r="D30" s="63"/>
      <c r="E30" s="61" t="s">
        <v>606</v>
      </c>
      <c r="F30" s="60" t="s">
        <v>604</v>
      </c>
    </row>
    <row r="31" spans="1:6" ht="15" thickBot="1" x14ac:dyDescent="0.25">
      <c r="A31" s="65"/>
      <c r="B31" s="66"/>
      <c r="C31" s="66"/>
      <c r="D31" s="67"/>
      <c r="E31" s="65"/>
      <c r="F31" s="67"/>
    </row>
    <row r="32" spans="1:6" x14ac:dyDescent="0.2">
      <c r="A32" s="68"/>
      <c r="B32" s="68"/>
      <c r="C32" s="68"/>
      <c r="D32" s="68"/>
      <c r="E32" s="68"/>
      <c r="F32" s="68"/>
    </row>
  </sheetData>
  <mergeCells count="3">
    <mergeCell ref="F2:F5"/>
    <mergeCell ref="A7:F7"/>
    <mergeCell ref="A8:F8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GL</vt:lpstr>
      <vt:lpstr>หายอด Privot</vt:lpstr>
      <vt:lpstr>22050103</vt:lpstr>
      <vt:lpstr>รายงาน</vt:lpstr>
      <vt:lpstr>สรุป</vt:lpstr>
      <vt:lpstr>ปก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account.sales</dc:creator>
  <cp:lastModifiedBy>Sureepon Ratsameepen</cp:lastModifiedBy>
  <cp:lastPrinted>2026-03-05T09:48:38Z</cp:lastPrinted>
  <dcterms:created xsi:type="dcterms:W3CDTF">2026-03-04T08:47:41Z</dcterms:created>
  <dcterms:modified xsi:type="dcterms:W3CDTF">2026-03-24T08:30:56Z</dcterms:modified>
</cp:coreProperties>
</file>