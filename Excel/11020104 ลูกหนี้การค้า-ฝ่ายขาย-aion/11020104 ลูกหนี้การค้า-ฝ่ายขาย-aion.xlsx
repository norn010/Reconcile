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11020104 ลูกหนี้การค้า-ฝ่ายขาย-aion\"/>
    </mc:Choice>
  </mc:AlternateContent>
  <xr:revisionPtr revIDLastSave="0" documentId="8_{745F668F-A800-4E9F-829B-0D21667AE88B}" xr6:coauthVersionLast="47" xr6:coauthVersionMax="47" xr10:uidLastSave="{00000000-0000-0000-0000-000000000000}"/>
  <bookViews>
    <workbookView xWindow="28680" yWindow="-120" windowWidth="29040" windowHeight="15720" activeTab="3" xr2:uid="{72D0527C-8AC5-43FE-AEE1-104CFEAD5262}"/>
  </bookViews>
  <sheets>
    <sheet name="GL" sheetId="1" r:id="rId1"/>
    <sheet name="11020104" sheetId="2" state="hidden" r:id="rId2"/>
    <sheet name="Privot" sheetId="3" state="hidden" r:id="rId3"/>
    <sheet name="รายละเอียด" sheetId="4" r:id="rId4"/>
    <sheet name="สรุป" sheetId="6" r:id="rId5"/>
    <sheet name="ปก" sheetId="5" r:id="rId6"/>
  </sheets>
  <definedNames>
    <definedName name="_xlnm._FilterDatabase" localSheetId="1" hidden="1">'11020104'!$A$1:$I$290</definedName>
    <definedName name="_xlnm._FilterDatabase" localSheetId="0" hidden="1">GL!$A$5:$G$296</definedName>
    <definedName name="_xlnm._FilterDatabase" localSheetId="3" hidden="1">รายละเอียด!$A$5:$D$14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6" l="1"/>
  <c r="E15" i="4"/>
  <c r="F22" i="5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D4" i="3"/>
  <c r="C4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" i="2"/>
</calcChain>
</file>

<file path=xl/sharedStrings.xml><?xml version="1.0" encoding="utf-8"?>
<sst xmlns="http://schemas.openxmlformats.org/spreadsheetml/2006/main" count="2284" uniqueCount="515">
  <si>
    <t>บริษัท เอกสหเอมอเตอร์ จำกัด (สำนักงานใหญ่)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</si>
  <si>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</si>
  <si>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</si>
  <si>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</si>
  <si>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</si>
  <si>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03/03/2569</t>
  </si>
  <si>
    <t xml:space="preserve">เลขที่บัญชี  </t>
  </si>
  <si>
    <t xml:space="preserve">1102-01-04     </t>
  </si>
  <si>
    <t xml:space="preserve"> ถึง  </t>
  </si>
  <si>
    <t xml:space="preserve"> 1102-01-04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</si>
  <si>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</si>
  <si>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</si>
  <si>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</si>
  <si>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</si>
  <si>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</si>
  <si>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</si>
  <si>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ยอดคงเหลือ</t>
  </si>
  <si>
    <t>1102-01-04</t>
  </si>
  <si>
    <t>ลูกหนี้การค้า-ฝ่ายขาย M</t>
  </si>
  <si>
    <t>รับ</t>
  </si>
  <si>
    <t>RVEM6809-001</t>
  </si>
  <si>
    <t>ITB-25090113 บงกช ศรัทธาวรกุล</t>
  </si>
  <si>
    <t>ขาย</t>
  </si>
  <si>
    <t>SVVM6809-001</t>
  </si>
  <si>
    <t>บันทึกการขายเชื่อรถยนต์ บงกช ศรัทธาวรกุล</t>
  </si>
  <si>
    <t>SVVM6810-001</t>
  </si>
  <si>
    <t>บันทึกการขายเชื่อรถยนต์ จุฬา สังฆวัตร</t>
  </si>
  <si>
    <t>RVEM6810-001</t>
  </si>
  <si>
    <t>รับชำระหนี้จาก จุฬา สังฆวัตร</t>
  </si>
  <si>
    <t>RVEM6810-002</t>
  </si>
  <si>
    <t>รับชำระหนี้จาก เอนก ศรีชายวิวัฒนกุล</t>
  </si>
  <si>
    <t>SVVM6810-002</t>
  </si>
  <si>
    <t>บันทึกการขายเชื่อรถยนต์ ณัฐฐา อุดสาย</t>
  </si>
  <si>
    <t>SVVM6810-003</t>
  </si>
  <si>
    <t>บันทึกการขายเชื่อรถยนต์ เอนก ศรีชายวิวัฒนกุล</t>
  </si>
  <si>
    <t>SVVM6810-004</t>
  </si>
  <si>
    <t>บันทึกการขายเชื่อรถยนต์ มิตรชัย ประสิทธิ์</t>
  </si>
  <si>
    <t>RVEM6810-003</t>
  </si>
  <si>
    <t>รับชำระหนี้จาก มิตรชัย ประสิทธิ์</t>
  </si>
  <si>
    <t>RVEM6810-004</t>
  </si>
  <si>
    <t>รับชำระหนี้จาก ณัฐฐา อุดสาย</t>
  </si>
  <si>
    <t>RVEM6810-005</t>
  </si>
  <si>
    <t>รับชำระหนี้จาก ศุภนิจ พรธีระภัทร</t>
  </si>
  <si>
    <t>SVVM6810-005</t>
  </si>
  <si>
    <t>บันทึกการขายเชื่อรถยนต์ ศุภนิจ พรธีระภัทร</t>
  </si>
  <si>
    <t>RVEM6810-006</t>
  </si>
  <si>
    <t>รับชำระหนี้จาก ปนิตา อินทรวงศ์</t>
  </si>
  <si>
    <t>SVVM6810-006</t>
  </si>
  <si>
    <t>บันทึกการขายเชื่อรถยนต์ ปนิตา อินทรวงศ์</t>
  </si>
  <si>
    <t>RVEM6810-007</t>
  </si>
  <si>
    <t>รับชำระหนี้จาก เฉลิมเกียรติ อากาศสุภา</t>
  </si>
  <si>
    <t>SVVM6810-007</t>
  </si>
  <si>
    <t>บันทึกการขายเชื่อรถยนต์ เฉลิมเกียรติ อากาศสุภา</t>
  </si>
  <si>
    <t>RVEM6810-008</t>
  </si>
  <si>
    <t>รับชำระหนี้จาก โคตรคาร์ ทรานสปอร์ต</t>
  </si>
  <si>
    <t>RVEM6810-009</t>
  </si>
  <si>
    <t>SVVM6810-008</t>
  </si>
  <si>
    <t>บันทึกการขายเชื่อรถยนต์ โคตรคาร์ ทรานสปอร์ต</t>
  </si>
  <si>
    <t>SVVM6810-009</t>
  </si>
  <si>
    <t>RVEM6810-010</t>
  </si>
  <si>
    <t>รับชำระหนี้จาก ประยูร สัมฤทธิกุล</t>
  </si>
  <si>
    <t>RVEM6810-011</t>
  </si>
  <si>
    <t>รับชำระหนี้จาก บจ.สุขสมบูรณ์2022</t>
  </si>
  <si>
    <t>SVVM6810-010</t>
  </si>
  <si>
    <t>บันทึกการขายเชื่อรถยนต์ ประยูร สัมฤทธิกุล</t>
  </si>
  <si>
    <t>SVVM6810-011</t>
  </si>
  <si>
    <t>บันทึกการขายเชื่อรถยนต์ บจ.สุขสมบูรณ์2022</t>
  </si>
  <si>
    <t>RVEM6811-001</t>
  </si>
  <si>
    <t>ITB-25110024วรายุกนิษฐ มณีอินทร์</t>
  </si>
  <si>
    <t>RVEM6811-002</t>
  </si>
  <si>
    <t>ITB-25110027 บจ.โคตรคาร์ ทรานสปอร์ต</t>
  </si>
  <si>
    <t>SVVM6811-001</t>
  </si>
  <si>
    <t>บันทึกการขายรถ วรายุกนิษฐ มณีอินทร์</t>
  </si>
  <si>
    <t>SVVM6811-002</t>
  </si>
  <si>
    <t>บันทึกการขายรถ บจ.โคตรคาร์ ทรานสปอร์ต</t>
  </si>
  <si>
    <t>RVEM6811-003</t>
  </si>
  <si>
    <t>ฌTB-25110003 เรวัติ เชื้อแสง</t>
  </si>
  <si>
    <t>SVVM6811-003</t>
  </si>
  <si>
    <t>บันทึกการขายรถ เรวัติ เชื้อแสง</t>
  </si>
  <si>
    <t>RVEM6811-004</t>
  </si>
  <si>
    <t>ฌTB-25110006 บจ.โคตรคาร์ ทรานสปอร์ต</t>
  </si>
  <si>
    <t>RVEM6811-005</t>
  </si>
  <si>
    <t>ฌTB-25110010 SIU YUEN POON</t>
  </si>
  <si>
    <t>SVVM6811-004</t>
  </si>
  <si>
    <t>SVVM6811-005</t>
  </si>
  <si>
    <t>บันทึกการขายรถ SIU YUEN POON</t>
  </si>
  <si>
    <t>RVEM6811-006</t>
  </si>
  <si>
    <t>ฌTB-25110018 บจ.โคตรคาร์ ทรานสปอร์ต</t>
  </si>
  <si>
    <t>SVVM6811-006</t>
  </si>
  <si>
    <t>RVEM6811-007</t>
  </si>
  <si>
    <t>รับชำระหนี้จาก กัญญาภรณ์ พุทธเจริญลาภ</t>
  </si>
  <si>
    <t>SVVM6811-007</t>
  </si>
  <si>
    <t>บันทึกการขายรถ กัญญาภรณ์ พุทธเจริญลาภ</t>
  </si>
  <si>
    <t>RVEM6811-008</t>
  </si>
  <si>
    <t>รับชำระหนี้จาก ธัญมน กิราสุข</t>
  </si>
  <si>
    <t>SVVM6811-008</t>
  </si>
  <si>
    <t>บันทึกการขายรถ ธัญมน กิราสุข</t>
  </si>
  <si>
    <t>RVEM6811-009</t>
  </si>
  <si>
    <t>ฌTB-25110053 พรหมนิพิฐ เหมือนรอดดี</t>
  </si>
  <si>
    <t>RVEM6811-010</t>
  </si>
  <si>
    <t>รับชำระหนี้จาก ศรีนคร จันทะปัญญา</t>
  </si>
  <si>
    <t>SVVM6811-009</t>
  </si>
  <si>
    <t>บันทึกการขายรถ พรหมนิพิฐ เหมือนรอดดี</t>
  </si>
  <si>
    <t>SVVM6811-010</t>
  </si>
  <si>
    <t>บันทึกการขายรถ ศรีนคร จันทะปัญญา</t>
  </si>
  <si>
    <t>RVEM6811-011</t>
  </si>
  <si>
    <t>รับชำระหนี้จาก ชัชวาล ตระการประไพ</t>
  </si>
  <si>
    <t>RVEM6811-012</t>
  </si>
  <si>
    <t>รับชำระหนี้จาก ปรเมษฐ์ วรเลิศโกศล</t>
  </si>
  <si>
    <t>SVVM6811-011</t>
  </si>
  <si>
    <t>บันทึกการขายรถ ชัชวาล ตระการประไพ</t>
  </si>
  <si>
    <t>SVVM6811-012</t>
  </si>
  <si>
    <t>บันทึกการขายรถ ปรเมษฐ์ วรเลิศโกศล</t>
  </si>
  <si>
    <t>RVEM6811-013</t>
  </si>
  <si>
    <t>รับชำระหนี้จาก ปุณยนุช ธรรมศิริ</t>
  </si>
  <si>
    <t>RVEM6811-014</t>
  </si>
  <si>
    <t>รับชำระหนี้จาก การันต์ บริรักษ์สัมพันธ์</t>
  </si>
  <si>
    <t>RVEM6811-015</t>
  </si>
  <si>
    <t>รับชำระหนี้จาก ศุภกร เจนกุลเจริญ</t>
  </si>
  <si>
    <t>SVVM6811-013</t>
  </si>
  <si>
    <t>บันทึกการขายรถ ปุณยนุช ธรรมศิริ</t>
  </si>
  <si>
    <t>SVVM6811-014</t>
  </si>
  <si>
    <t>บันทึกการขายรถ การันต์ บริรักษ์สัมพันธ์</t>
  </si>
  <si>
    <t>SVVM6811-015</t>
  </si>
  <si>
    <t>บันทึกการขายรถ ศุภกร เจนกุลเจริญ</t>
  </si>
  <si>
    <t>RVEM6811-016</t>
  </si>
  <si>
    <t>รับชำระหนี้จาก นัยน์ปพร  จันดี</t>
  </si>
  <si>
    <t>SVVM6811-016</t>
  </si>
  <si>
    <t>บันทึกการขายรถ ณภัสญาณ์ เลิศวรรธน์กุล</t>
  </si>
  <si>
    <t>SVVM6811-017</t>
  </si>
  <si>
    <t>บันทึกการขายรถ สุดาทิพย์ ศรีสร้อย</t>
  </si>
  <si>
    <t>SVVM6811-018</t>
  </si>
  <si>
    <t>บันทึกการขายรถ ธนกฤต ฤทธิ์ภักดีกุล</t>
  </si>
  <si>
    <t>SVVM6811-019</t>
  </si>
  <si>
    <t>บันทึกการขายรถ จิตตาภา ขุนทอง</t>
  </si>
  <si>
    <t>RVEM6812-001</t>
  </si>
  <si>
    <t>รับชำระหนี้จาก ณภัสญาณ์ เลิศวรรธน์กุล</t>
  </si>
  <si>
    <t>RVEM6812-002</t>
  </si>
  <si>
    <t>รับชำระหนี้จาก จิตตาภา ขุนทอง</t>
  </si>
  <si>
    <t>RVEM6812-003</t>
  </si>
  <si>
    <t>รับชำระหนี้จาก ณัฎฐา ณ บางช้าง</t>
  </si>
  <si>
    <t>RVEM6812-004</t>
  </si>
  <si>
    <t>รับชำระหนี้จาก ธรรมธร เกตุแก้ว</t>
  </si>
  <si>
    <t>RVEM6812-005</t>
  </si>
  <si>
    <t>รับชำระหนี้จาก สุภาธินี อินทโสภา</t>
  </si>
  <si>
    <t>RVEM6812-006</t>
  </si>
  <si>
    <t>รับชำระหนี้จาก วิรุฬห์ มูซอ</t>
  </si>
  <si>
    <t>RVEM6812-007</t>
  </si>
  <si>
    <t>รับชำระหนี้จาก สุดนารี แซ่ลี้</t>
  </si>
  <si>
    <t>RVEM6812-008</t>
  </si>
  <si>
    <t>รับชำระหนี้จาก ธนกฤต ฤทธิ์ภักดีกุล</t>
  </si>
  <si>
    <t>RVEM6812-009</t>
  </si>
  <si>
    <t>รับชำระหนี้จาก นาฏนภา เป้าปราณี</t>
  </si>
  <si>
    <t>RVEM6812-010</t>
  </si>
  <si>
    <t>รับชำระหนี้จาก ณัฐพร แปงวัน</t>
  </si>
  <si>
    <t>RVEM6812-011</t>
  </si>
  <si>
    <t>รับชำระหนี้จาก ศศินันท์ คิรินทร์รัตนะ</t>
  </si>
  <si>
    <t>RVEM6812-012</t>
  </si>
  <si>
    <t>รับชำระหนี้จาก นพรัตน์ ศักดิ์ศิริ</t>
  </si>
  <si>
    <t>RVEM6812-013</t>
  </si>
  <si>
    <t>รับชำระหนี้จาก กชกร วัชราไทย</t>
  </si>
  <si>
    <t>RVEM6812-014</t>
  </si>
  <si>
    <t>รับชำระหนี้จาก ไอลดา ไชยศรี</t>
  </si>
  <si>
    <t>RVEM6812-015</t>
  </si>
  <si>
    <t>รับชำระหนี้จาก ธีรวุฒิ นิลเหลือง</t>
  </si>
  <si>
    <t>RVEM6812-016</t>
  </si>
  <si>
    <t>รับชำระหนี้จาก สิริรัตน์  ตรงต่อศักดิ์</t>
  </si>
  <si>
    <t>RVEM6812-017</t>
  </si>
  <si>
    <t>รับชำระหนี้จาก สุดาทิพย์ ศรีสร้อย</t>
  </si>
  <si>
    <t>RVEM6812-018</t>
  </si>
  <si>
    <t>รับชำระหนี้จาก นิวัฒน์ จีรวงศ์สุนทร</t>
  </si>
  <si>
    <t>RVEM6812-019</t>
  </si>
  <si>
    <t>รับชำระหนี้จาก ยลดา อาหรับ</t>
  </si>
  <si>
    <t>RVEM6812-020</t>
  </si>
  <si>
    <t>รับชำระหนี้จาก กัญญา อินทะมา</t>
  </si>
  <si>
    <t>RVEM6812-021</t>
  </si>
  <si>
    <t>รับชำระหนี้จาก นวกชมณ บุญรอดรักษุ์</t>
  </si>
  <si>
    <t>RVEM6812-022</t>
  </si>
  <si>
    <t>รับชำระหนี้จาก อัครวัฒน์ เดชานันท์เสถียร</t>
  </si>
  <si>
    <t>RVEM6812-023</t>
  </si>
  <si>
    <t>รับชำระหนี้จาก ชุติมา บุญสูง</t>
  </si>
  <si>
    <t>RVEM6812-024</t>
  </si>
  <si>
    <t>รับชำระหนี้จาก อินทิรา เฉลิมวงศ์</t>
  </si>
  <si>
    <t>RVEM6812-025</t>
  </si>
  <si>
    <t>รับชำระหนี้จาก ศุภกานต์ หลำนุ้ย</t>
  </si>
  <si>
    <t>RVEM6812-026</t>
  </si>
  <si>
    <t>รับชำระหนี้จาก พิทยารัตน์ มูลจันดา</t>
  </si>
  <si>
    <t>RVEM6812-027</t>
  </si>
  <si>
    <t>รับชำระหนี้จาก ภควัต ส่งคุณฤทธิการ</t>
  </si>
  <si>
    <t>RVEM6812-028</t>
  </si>
  <si>
    <t>รับชำระหนี้จาก จิราภา โหมดวิจิตร</t>
  </si>
  <si>
    <t>RVEM6812-029</t>
  </si>
  <si>
    <t>รับชำระหนี้จาก มฑป โรจนวิสุทธิ์</t>
  </si>
  <si>
    <t>RVEM6812-030</t>
  </si>
  <si>
    <t>รับชำระหนี้จาก นิรัตน์ สุวรรณวิชัย</t>
  </si>
  <si>
    <t>RVEM6812-031</t>
  </si>
  <si>
    <t>รับชำระหนี้จาก ปรเมศวร์ เอี่ยมเต็ง</t>
  </si>
  <si>
    <t>RVEM6812-032</t>
  </si>
  <si>
    <t>รับชำระหนี้จาก กษิรา บุญอินทร์</t>
  </si>
  <si>
    <t>RVEM6812-033</t>
  </si>
  <si>
    <t>รับชำระหนี้จาก สมปรารถนา คล้ายวิเชียร</t>
  </si>
  <si>
    <t>RVEM6812-034</t>
  </si>
  <si>
    <t>รับชำระหนี้จาก บุษกร แป้นขาว</t>
  </si>
  <si>
    <t>RVEM6812-035</t>
  </si>
  <si>
    <t>รับชำระหนี้จาก สมประสงค์ เชิดชู</t>
  </si>
  <si>
    <t>RVEM6812-036</t>
  </si>
  <si>
    <t>รับชำระหนี้จาก ปาณิศรา ธนะชัยธิรดา</t>
  </si>
  <si>
    <t>RVEM6812-037</t>
  </si>
  <si>
    <t>รับชำระหนี้จาก อาทิตยา ภัทรบุญภักดิ์</t>
  </si>
  <si>
    <t>RVEM6812-038</t>
  </si>
  <si>
    <t>รับชำระหนี้จาก รุ่งธรรม เหลืองรุ่งวสันต์</t>
  </si>
  <si>
    <t>RVEM6812-039</t>
  </si>
  <si>
    <t>รับชำระหนี้จาก สุกัลย์ เหลืองพรนุวัฒน์</t>
  </si>
  <si>
    <t>RVEM6812-040</t>
  </si>
  <si>
    <t>รับชำระหนี้จาก อนาคิน ธนรุ่งปัญญาสิทธิ์</t>
  </si>
  <si>
    <t>RVEM6812-041</t>
  </si>
  <si>
    <t>รับชำระหนี้จาก พงษ์ชัย เตียวรัตนกุล</t>
  </si>
  <si>
    <t>RVEM6812-042</t>
  </si>
  <si>
    <t>รับชำระหนี้จาก ทรงวุฒิ พรมโท</t>
  </si>
  <si>
    <t>RVEM6812-043</t>
  </si>
  <si>
    <t>รับชำระหนี้จาก ศศมน พุทธสอน</t>
  </si>
  <si>
    <t>RVEM6812-044</t>
  </si>
  <si>
    <t>รับชำระหนี้จาก ธัญวลัย ต่างประภา</t>
  </si>
  <si>
    <t>RVEM6812-045</t>
  </si>
  <si>
    <t>รับชำระหนี้จาก ธนนดา พันธุ์ธนวิบูลย์</t>
  </si>
  <si>
    <t>RVEM6812-046</t>
  </si>
  <si>
    <t>รับชำระหนี้จาก วันชัย อนุชาด</t>
  </si>
  <si>
    <t>RVEM6812-047</t>
  </si>
  <si>
    <t>รับชำระหนี้จาก ณัฐวุฒิ ทาตุ๊</t>
  </si>
  <si>
    <t>RVEM6812-048</t>
  </si>
  <si>
    <t>รับชำระหนี้จาก จันทร สังข์สุวรรณ</t>
  </si>
  <si>
    <t>RVEM6812-049</t>
  </si>
  <si>
    <t>รับชำระหนี้จาก ชุมาพร นนท์ปฏิมากุล</t>
  </si>
  <si>
    <t>RVEM6812-050</t>
  </si>
  <si>
    <t>รับชำระหนี้จาก จริยา พิมละมาด</t>
  </si>
  <si>
    <t>RVEM6812-051</t>
  </si>
  <si>
    <t>รับชำระหนี้จาก นันท์นภัส สาโรวาท</t>
  </si>
  <si>
    <t>RVEM6812-052</t>
  </si>
  <si>
    <t>รับชำระหนี้จาก คมกฤษณ์ วังตระกูล</t>
  </si>
  <si>
    <t>RVEM6812-053</t>
  </si>
  <si>
    <t>รับชำระหนี้จาก ภาคิณ ประเสริฐจิต</t>
  </si>
  <si>
    <t>RVEM6812-057</t>
  </si>
  <si>
    <t>ฌTR-25120051 ณัฐพงษ์ กองชัยมงคล</t>
  </si>
  <si>
    <t>ฌTB-25120175 ณัฐพงษ์ กองชัยมงคล</t>
  </si>
  <si>
    <t>RVVM6812-028</t>
  </si>
  <si>
    <t>ฌTB-25120310 สุรจิต เมธีวิทยา</t>
  </si>
  <si>
    <t>ฌTB-25120065 นารีรัตน์ คำภิระปาวงศ์</t>
  </si>
  <si>
    <t>ฌTB-25120253 รินทร์ลภัส ปิจดี</t>
  </si>
  <si>
    <t>ฌTB-25120292 ธีระพงษ์ ตันสิทธิพันธ์</t>
  </si>
  <si>
    <t>ฌTB-25120306 จิดาภา อริยพฤกษ์</t>
  </si>
  <si>
    <t>SVVM6812-001</t>
  </si>
  <si>
    <t>คุณ กษิรา  บุญอินทร์</t>
  </si>
  <si>
    <t>คุณ ศุภกานต์  หลำนุ้ย</t>
  </si>
  <si>
    <t>คุณ ปาณิศรา  ธนะชัยธิรดา</t>
  </si>
  <si>
    <t>คุณ นัยน์ปพร  จันดี</t>
  </si>
  <si>
    <t>คุณ สุภาธินี  อินทโสภา</t>
  </si>
  <si>
    <t>คุณธรรมธร  เกตุแก้ว</t>
  </si>
  <si>
    <t>คุณ วิรุฬห์  มูซอ</t>
  </si>
  <si>
    <t>คุณ นพรัตน์  ศักดิ์ศิริ</t>
  </si>
  <si>
    <t>คุณ ชุติมา  บุญสูง</t>
  </si>
  <si>
    <t>คุณ ศศมน  พุทธสอน</t>
  </si>
  <si>
    <t>คุณ อนาคิน  ธนรุ่งปัญญาสิทธิ์</t>
  </si>
  <si>
    <t>คุณ นารีรัตน์  คำภิระปาวงศ์</t>
  </si>
  <si>
    <t>คุณพิทยารัตน์  มูลจันดา</t>
  </si>
  <si>
    <t>คุณจิราภา  โหมดวิจิตร</t>
  </si>
  <si>
    <t>คุณศศินันท์  คิรินทร์รัตนะ</t>
  </si>
  <si>
    <t>SVVM6812-002</t>
  </si>
  <si>
    <t>คุณ จิดาภา  อริยพฤกษ์</t>
  </si>
  <si>
    <t>คุณ ไอลดา  ไชยศรี</t>
  </si>
  <si>
    <t>คุณ ยลดา   อาหรับ</t>
  </si>
  <si>
    <t>คุณ ปรเมศวร์  เอี่ยมเต็ง</t>
  </si>
  <si>
    <t>คุณ อาทิตยา  ภัทรบุญภักดิ์</t>
  </si>
  <si>
    <t>คุณ มณฑป  โรจนวิสุทธิ์</t>
  </si>
  <si>
    <t>คุณ วันชัย  อนุชาด</t>
  </si>
  <si>
    <t>คุณ บุษกร  แป้นขาว</t>
  </si>
  <si>
    <t>คุณ ณัฐพงษ์  กองชัยมงคล</t>
  </si>
  <si>
    <t>คุณ ธนนดา  พันธุ์ธนวิบูลย์</t>
  </si>
  <si>
    <t>คุณ อมาวศรี  ยิ่งธนพิบูลย์</t>
  </si>
  <si>
    <t>คุณ อาภรณ์  อิสมาแอล</t>
  </si>
  <si>
    <t>คุณนาฏนภา  เป้าปราณี</t>
  </si>
  <si>
    <t>คุณกชกร  วัชราไทย</t>
  </si>
  <si>
    <t>คุณสิริรัตน์  ตรงต่อศักดิ์</t>
  </si>
  <si>
    <t>คุณกัญญา  อินทะมา</t>
  </si>
  <si>
    <t>คุณพงษ์ชัย   เตียวรัตนกุล</t>
  </si>
  <si>
    <t>SVVM6812-003</t>
  </si>
  <si>
    <t>คุณ อินทิรา  เฉลิมวงศ์</t>
  </si>
  <si>
    <t>คุณ วาสนา  หมอกเจริญ</t>
  </si>
  <si>
    <t>คุณณัฏฐา  ณ บางช้าง</t>
  </si>
  <si>
    <t>คุณ สุดนารี  แซ่ลี้</t>
  </si>
  <si>
    <t>คุณ ธีรวุฒิ  นิลเหลือง</t>
  </si>
  <si>
    <t>คุณ ณัฐวุฒิ  ทาตุ๊</t>
  </si>
  <si>
    <t>คุณ อัครวัฒน์  เดชานันท์เสถียร</t>
  </si>
  <si>
    <t>คุณ นิรัตน์  สุวรรณวิชัย</t>
  </si>
  <si>
    <t>คุณ รุ่งธรรม   เหลืองรุ่งวสันต์</t>
  </si>
  <si>
    <t>คุณ สุกัลย์  เหลืองพรนุวัฒน์</t>
  </si>
  <si>
    <t>คุณ จริยา  พิมละมาด</t>
  </si>
  <si>
    <t>คุณ ชุมาพร  นนท์ปฎิมากุล</t>
  </si>
  <si>
    <t>คุณ คมกฤษณ์  วังตระกูล</t>
  </si>
  <si>
    <t>คุณ จันทร  สังข์สุวรรณ</t>
  </si>
  <si>
    <t>คุณ ธัญวลัย  ต่างประภา</t>
  </si>
  <si>
    <t>คุณ รินทร์ลภัส  ปิจดี</t>
  </si>
  <si>
    <t>คุณ ธีระพงษ์  ตันสิทธิพันธ์</t>
  </si>
  <si>
    <t>คุณณัฐพร  แปงวัน</t>
  </si>
  <si>
    <t>คุณนิวัฒน์   จีรวงศ์สุนทร</t>
  </si>
  <si>
    <t>คุณนวกชมณ  บุญรอดรักษุ์</t>
  </si>
  <si>
    <t>คุณภควัต   ส่งคุณฤทธิการ</t>
  </si>
  <si>
    <t>SVVM6812-004</t>
  </si>
  <si>
    <t>คุณ สมประสงค์   เชิดชู</t>
  </si>
  <si>
    <t>คุณ นันท์นภัส   สาโรวาท</t>
  </si>
  <si>
    <t>คุณ ณัฐพล  จรัสสุขสวัสดิ์</t>
  </si>
  <si>
    <t>คุณ สุรจิต  เมธีวิทยา</t>
  </si>
  <si>
    <t>คุณสมปรารถนา  คล้ายวิเชียร</t>
  </si>
  <si>
    <t>SVVM6812-005</t>
  </si>
  <si>
    <t>คุณ ภาคิณ  ประเสริฐจิต</t>
  </si>
  <si>
    <t>คุณทรงวุฒิ  พรมโท  [ฌHC-25120015]</t>
  </si>
  <si>
    <t>SVVM6812-006</t>
  </si>
  <si>
    <t>คุณ จิตตาภา  ขุนทอง</t>
  </si>
  <si>
    <t>คุณ ธนกฤต  ฤทธิ์ภักดีกุล</t>
  </si>
  <si>
    <t>คุณ สุดาทิพย์  ศรีสร้อย</t>
  </si>
  <si>
    <t>RVEM6812-054</t>
  </si>
  <si>
    <t>รับชำระหนี้จาก อมาวศรี ยิ่งธนพิบูลย์</t>
  </si>
  <si>
    <t>RVEM6812-055</t>
  </si>
  <si>
    <t>รับชำระหนี้จาก อาภรณ์ อิสมาแอล</t>
  </si>
  <si>
    <t>RVEM6812-056</t>
  </si>
  <si>
    <t>รับชำระหนี้จาก วาสนา หมอกเจริญ</t>
  </si>
  <si>
    <t>Customer Name</t>
  </si>
  <si>
    <t>Amount</t>
  </si>
  <si>
    <t>Sum of Amount</t>
  </si>
  <si>
    <t>Row Labels</t>
  </si>
  <si>
    <t>Grand Total</t>
  </si>
  <si>
    <t>&gt;0</t>
  </si>
  <si>
    <t>&lt;0</t>
  </si>
  <si>
    <t>RVEM6812-058</t>
  </si>
  <si>
    <t>บงกช ศรัทธาวรกุล</t>
  </si>
  <si>
    <t>จุฬา สังฆวัตร</t>
  </si>
  <si>
    <t>เอนก ศรีชายวิวัฒนกุล</t>
  </si>
  <si>
    <t>ณัฐฐา อุดสาย</t>
  </si>
  <si>
    <t>มิตรชัย ประสิทธิ์</t>
  </si>
  <si>
    <t>ศุภนิจ พรธีระภัทร</t>
  </si>
  <si>
    <t>ปนิตา อินทรวงศ์</t>
  </si>
  <si>
    <t>เฉลิมเกียรติ อากาศสุภา</t>
  </si>
  <si>
    <t>วาสนา หมอกเจริญ</t>
  </si>
  <si>
    <t>อาภรณ์ อิสมาแอล</t>
  </si>
  <si>
    <t>อมาวศรี ยิ่งธนพิบูลย์</t>
  </si>
  <si>
    <t>อาภรณ์  อิสมาแอล</t>
  </si>
  <si>
    <t>อมาวศรี  ยิ่งธนพิบูลย์</t>
  </si>
  <si>
    <t>นันท์นภัส   สาโรวาท</t>
  </si>
  <si>
    <t>ธัญวลัย  ต่างประภา</t>
  </si>
  <si>
    <t>จันทร  สังข์สุวรรณ</t>
  </si>
  <si>
    <t>คมกฤษณ์  วังตระกูล</t>
  </si>
  <si>
    <t>ชุมาพร  นนท์ปฎิมากุล</t>
  </si>
  <si>
    <t>ธนนดา  พันธุ์ธนวิบูลย์</t>
  </si>
  <si>
    <t>จริยา  พิมละมาด</t>
  </si>
  <si>
    <t>ภาคิณ  ประเสริฐจิต</t>
  </si>
  <si>
    <t>วาสนา  หมอกเจริญ</t>
  </si>
  <si>
    <t>สุกัลย์  เหลืองพรนุวัฒน์</t>
  </si>
  <si>
    <t>อนาคิน  ธนรุ่งปัญญาสิทธิ์</t>
  </si>
  <si>
    <t>ศศมน  พุทธสอน</t>
  </si>
  <si>
    <t>ณัฐพงษ์  กองชัยมงคล</t>
  </si>
  <si>
    <t>ปาณิศรา  ธนะชัยธิรดา</t>
  </si>
  <si>
    <t>นิรัตน์  สุวรรณวิชัย</t>
  </si>
  <si>
    <t>รุ่งธรรม   เหลืองรุ่งวสันต์</t>
  </si>
  <si>
    <t>ปรเมศวร์  เอี่ยมเต็ง</t>
  </si>
  <si>
    <t>อาทิตยา  ภัทรบุญภักดิ์</t>
  </si>
  <si>
    <t>บุษกร  แป้นขาว</t>
  </si>
  <si>
    <t>วันชัย  อนุชาด</t>
  </si>
  <si>
    <t>โคตรคาร์ ทรานสปอร์ต</t>
  </si>
  <si>
    <t>ประยูร สัมฤทธิกุล</t>
  </si>
  <si>
    <t>บจ.สุขสมบูรณ์2022</t>
  </si>
  <si>
    <t>วรายุกนิษฐ มณีอินทร์</t>
  </si>
  <si>
    <t>บจ.โคตรคาร์ ทรานสปอร์ต</t>
  </si>
  <si>
    <t>เรวัติ เชื้อแสง</t>
  </si>
  <si>
    <t>SIU YUEN POON</t>
  </si>
  <si>
    <t>กัญญาภรณ์ พุทธเจริญลาภ</t>
  </si>
  <si>
    <t>ธัญมน กิราสุข</t>
  </si>
  <si>
    <t>พรหมนิพิฐ เหมือนรอดดี</t>
  </si>
  <si>
    <t>ศรีนคร จันทะปัญญา</t>
  </si>
  <si>
    <t>ชัชวาล ตระการประไพ</t>
  </si>
  <si>
    <t>ปรเมษฐ์ วรเลิศโกศล</t>
  </si>
  <si>
    <t>ปุณยนุช ธรรมศิริ</t>
  </si>
  <si>
    <t>การันต์ บริรักษ์สัมพันธ์</t>
  </si>
  <si>
    <t>ศุภกร เจนกุลเจริญ</t>
  </si>
  <si>
    <t>นัยน์ปพร  จันดี</t>
  </si>
  <si>
    <t>ณภัสญาณ์ เลิศวรรธน์กุล</t>
  </si>
  <si>
    <t>สุดาทิพย์ ศรีสร้อย</t>
  </si>
  <si>
    <t>ธนกฤต ฤทธิ์ภักดีกุล</t>
  </si>
  <si>
    <t>จิตตาภา ขุนทอง</t>
  </si>
  <si>
    <t>ณัฎฐา ณ บางช้าง</t>
  </si>
  <si>
    <t>ธรรมธร เกตุแก้ว</t>
  </si>
  <si>
    <t>สุภาธินี อินทโสภา</t>
  </si>
  <si>
    <t>วิรุฬห์ มูซอ</t>
  </si>
  <si>
    <t>สุดนารี แซ่ลี้</t>
  </si>
  <si>
    <t>นาฏนภา เป้าปราณี</t>
  </si>
  <si>
    <t>ณัฐพร แปงวัน</t>
  </si>
  <si>
    <t>ศศินันท์ คิรินทร์รัตนะ</t>
  </si>
  <si>
    <t>นพรัตน์ ศักดิ์ศิริ</t>
  </si>
  <si>
    <t>กชกร วัชราไทย</t>
  </si>
  <si>
    <t>ไอลดา ไชยศรี</t>
  </si>
  <si>
    <t>ธีรวุฒิ นิลเหลือง</t>
  </si>
  <si>
    <t>สิริรัตน์  ตรงต่อศักดิ์</t>
  </si>
  <si>
    <t>นิวัฒน์ จีรวงศ์สุนทร</t>
  </si>
  <si>
    <t>ยลดา อาหรับ</t>
  </si>
  <si>
    <t>กัญญา อินทะมา</t>
  </si>
  <si>
    <t>นวกชมณ บุญรอดรักษุ์</t>
  </si>
  <si>
    <t>อัครวัฒน์ เดชานันท์เสถียร</t>
  </si>
  <si>
    <t>ชุติมา บุญสูง</t>
  </si>
  <si>
    <t>อินทิรา เฉลิมวงศ์</t>
  </si>
  <si>
    <t>ศุภกานต์ หลำนุ้ย</t>
  </si>
  <si>
    <t>พิทยารัตน์ มูลจันดา</t>
  </si>
  <si>
    <t>ภควัต ส่งคุณฤทธิการ</t>
  </si>
  <si>
    <t>จิราภา โหมดวิจิตร</t>
  </si>
  <si>
    <t>นิรัตน์ สุวรรณวิชัย</t>
  </si>
  <si>
    <t>ปรเมศวร์ เอี่ยมเต็ง</t>
  </si>
  <si>
    <t>กษิรา บุญอินทร์</t>
  </si>
  <si>
    <t>สมปรารถนา คล้ายวิเชียร</t>
  </si>
  <si>
    <t>บุษกร แป้นขาว</t>
  </si>
  <si>
    <t>สมประสงค์ เชิดชู</t>
  </si>
  <si>
    <t>ปาณิศรา ธนะชัยธิรดา</t>
  </si>
  <si>
    <t>อาทิตยา ภัทรบุญภักดิ์</t>
  </si>
  <si>
    <t>รุ่งธรรม เหลืองรุ่งวสันต์</t>
  </si>
  <si>
    <t>สุกัลย์ เหลืองพรนุวัฒน์</t>
  </si>
  <si>
    <t>อนาคิน ธนรุ่งปัญญาสิทธิ์</t>
  </si>
  <si>
    <t>พงษ์ชัย เตียวรัตนกุล</t>
  </si>
  <si>
    <t>ทรงวุฒิ พรมโท</t>
  </si>
  <si>
    <t>ศศมน พุทธสอน</t>
  </si>
  <si>
    <t>ธัญวลัย ต่างประภา</t>
  </si>
  <si>
    <t>ธนนดา พันธุ์ธนวิบูลย์</t>
  </si>
  <si>
    <t>วันชัย อนุชาด</t>
  </si>
  <si>
    <t>ณัฐวุฒิ ทาตุ๊</t>
  </si>
  <si>
    <t>จันทร สังข์สุวรรณ</t>
  </si>
  <si>
    <t>ชุมาพร นนท์ปฏิมากุล</t>
  </si>
  <si>
    <t>จริยา พิมละมาด</t>
  </si>
  <si>
    <t>นันท์นภัส สาโรวาท</t>
  </si>
  <si>
    <t>คมกฤษณ์ วังตระกูล</t>
  </si>
  <si>
    <t>ภาคิณ ประเสริฐจิต</t>
  </si>
  <si>
    <t>ณัฐพงษ์ กองชัยมงคล</t>
  </si>
  <si>
    <t>สุรจิต เมธีวิทยา</t>
  </si>
  <si>
    <t>นารีรัตน์ คำภิระปาวงศ์</t>
  </si>
  <si>
    <t>รินทร์ลภัส ปิจดี</t>
  </si>
  <si>
    <t>ธีระพงษ์ ตันสิทธิพันธ์</t>
  </si>
  <si>
    <t>จิดาภา อริยพฤกษ์</t>
  </si>
  <si>
    <t>กษิรา  บุญอินทร์</t>
  </si>
  <si>
    <t>ศุภกานต์  หลำนุ้ย</t>
  </si>
  <si>
    <t>สุภาธินี  อินทโสภา</t>
  </si>
  <si>
    <t>ธรรมธร  เกตุแก้ว</t>
  </si>
  <si>
    <t>วิรุฬห์  มูซอ</t>
  </si>
  <si>
    <t>นพรัตน์  ศักดิ์ศิริ</t>
  </si>
  <si>
    <t>ชุติมา  บุญสูง</t>
  </si>
  <si>
    <t>นารีรัตน์  คำภิระปาวงศ์</t>
  </si>
  <si>
    <t>พิทยารัตน์  มูลจันดา</t>
  </si>
  <si>
    <t>จิราภา  โหมดวิจิตร</t>
  </si>
  <si>
    <t>ศศินันท์  คิรินทร์รัตนะ</t>
  </si>
  <si>
    <t>จิดาภา  อริยพฤกษ์</t>
  </si>
  <si>
    <t>ไอลดา  ไชยศรี</t>
  </si>
  <si>
    <t>ยลดา   อาหรับ</t>
  </si>
  <si>
    <t>มณฑป  โรจนวิสุทธิ์</t>
  </si>
  <si>
    <t>นาฏนภา  เป้าปราณี</t>
  </si>
  <si>
    <t>กชกร  วัชราไทย</t>
  </si>
  <si>
    <t>กัญญา  อินทะมา</t>
  </si>
  <si>
    <t>พงษ์ชัย   เตียวรัตนกุล</t>
  </si>
  <si>
    <t>อินทิรา  เฉลิมวงศ์</t>
  </si>
  <si>
    <t>ณัฏฐา  ณ บางช้าง</t>
  </si>
  <si>
    <t>สุดนารี  แซ่ลี้</t>
  </si>
  <si>
    <t>ธีรวุฒิ  นิลเหลือง</t>
  </si>
  <si>
    <t>ณัฐวุฒิ  ทาตุ๊</t>
  </si>
  <si>
    <t>อัครวัฒน์  เดชานันท์เสถียร</t>
  </si>
  <si>
    <t>รินทร์ลภัส  ปิจดี</t>
  </si>
  <si>
    <t>ธีระพงษ์  ตันสิทธิพันธ์</t>
  </si>
  <si>
    <t>ณัฐพร  แปงวัน</t>
  </si>
  <si>
    <t>นิวัฒน์   จีรวงศ์สุนทร</t>
  </si>
  <si>
    <t>นวกชมณ  บุญรอดรักษุ์</t>
  </si>
  <si>
    <t>ภควัต   ส่งคุณฤทธิการ</t>
  </si>
  <si>
    <t>สมประสงค์   เชิดชู</t>
  </si>
  <si>
    <t>ณัฐพล  จรัสสุขสวัสดิ์</t>
  </si>
  <si>
    <t>สุรจิต  เมธีวิทยา</t>
  </si>
  <si>
    <t>สมปรารถนา  คล้ายวิเชียร</t>
  </si>
  <si>
    <t>ทรงวุฒิ  พรมโท  [ฌHC-25120015]</t>
  </si>
  <si>
    <t>จิตตาภา  ขุนทอง</t>
  </si>
  <si>
    <t>ธนกฤต  ฤทธิ์ภักดีกุล</t>
  </si>
  <si>
    <t>สุดาทิพย์  ศรีสร้อย</t>
  </si>
  <si>
    <t>รับชำระหนี้จาก มณฑป โรจนวิสุทธิ์</t>
  </si>
  <si>
    <t>มณฑป โรจนวิสุทธิ์</t>
  </si>
  <si>
    <t>ณ วันที่ 31 ธันวาคม 2568</t>
  </si>
  <si>
    <t>รหัสบัญชี</t>
  </si>
  <si>
    <t>ชื่อบัญชี</t>
  </si>
  <si>
    <t>จำนวนเงินตามงบ</t>
  </si>
  <si>
    <t>ยืนยันยอดคงเหลือ ณ. 31 ธันวาคม 2568</t>
  </si>
  <si>
    <t>ผู้จัดทำ</t>
  </si>
  <si>
    <t>ผู้สอบทาน</t>
  </si>
  <si>
    <t>...........................................</t>
  </si>
  <si>
    <t>วันที่จัดทำ</t>
  </si>
  <si>
    <t>วันที่สอบทาน</t>
  </si>
  <si>
    <t>ลำดับ</t>
  </si>
  <si>
    <t>เลขที่เอกสาร</t>
  </si>
  <si>
    <t>ชื่อ-สกุล</t>
  </si>
  <si>
    <t>Sum of amount</t>
  </si>
  <si>
    <t>หมายเหตุ</t>
  </si>
  <si>
    <t>บริษัท เอกสห เอ มอเตอร์จำกัด (Mile One)</t>
  </si>
  <si>
    <t>รายงานลูกหนี้คงเหลือ ยกไป ปี 2569</t>
  </si>
  <si>
    <t>ฌHF-25120003</t>
  </si>
  <si>
    <t>ฌHF-25120044</t>
  </si>
  <si>
    <t>ฌHF-25120026</t>
  </si>
  <si>
    <t>ฌHF-25120036</t>
  </si>
  <si>
    <t>ฌHF-25120040</t>
  </si>
  <si>
    <t>ฌHF-25120037</t>
  </si>
  <si>
    <t>ฌHF-25120043</t>
  </si>
  <si>
    <t>รับชำระเลขที่ RVEM6901-006</t>
  </si>
  <si>
    <t>รับชำระเลขที่ RVEM6901-003</t>
  </si>
  <si>
    <t>รับชำระเลขที่ RVEM6901-007</t>
  </si>
  <si>
    <t>รับชำระเลขที่ RVEM6901-004</t>
  </si>
  <si>
    <t>รับชำระเลขที่ RVEM6901-002</t>
  </si>
  <si>
    <t>รับชำระเลขที่ RVEM6901-005</t>
  </si>
  <si>
    <t>รับชำระเลขที่ RVEM6901-001</t>
  </si>
  <si>
    <t>ลูกหนี้การค้าฝ่ายขาย - M</t>
  </si>
  <si>
    <t>A015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</si>
</sst>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0.00_ ;[Red]\-0.00\ "/>
    <numFmt numFmtId="188" formatCode="#,##0.00_ ;[Red]\-#,##0.00\ "/>
  </numFmts>
  <fonts count="1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b/>
      <sz val="26"/>
      <color theme="1"/>
      <name val="Tahoma"/>
      <family val="2"/>
      <scheme val="minor"/>
    </font>
    <font>
      <b/>
      <sz val="10"/>
      <color theme="1"/>
      <name val="Arial"/>
      <family val="2"/>
    </font>
    <font>
      <u/>
      <sz val="10"/>
      <color theme="1"/>
      <name val="Tahoma"/>
      <family val="2"/>
      <charset val="22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b/>
      <i/>
      <u/>
      <sz val="11"/>
      <name val="Tahoma"/>
      <family val="2"/>
      <scheme val="minor"/>
    </font>
    <font>
      <b/>
      <sz val="12"/>
      <color theme="1"/>
      <name val="Tahoma"/>
      <family val="2"/>
      <scheme val="minor"/>
    </font>
    <font>
      <b/>
      <u/>
      <sz val="11"/>
      <color theme="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  <xf numFmtId="43" fontId="5" fillId="0" borderId="0" applyFont="0" applyFill="0" applyBorder="0" applyAlignment="0" applyProtection="0"/>
  </cellStyleXfs>
  <cellXfs count="78">
    <xf numFmtId="0" fontId="0" fillId="0" borderId="0" xfId="0"/>
    <xf numFmtId="14" fontId="0" fillId="0" borderId="0" xfId="0" applyNumberFormat="1"/>
    <xf numFmtId="4" fontId="0" fillId="0" borderId="0" xfId="0" applyNumberFormat="1"/>
    <xf numFmtId="4" fontId="0" fillId="2" borderId="0" xfId="0" applyNumberFormat="1" applyFill="1"/>
    <xf numFmtId="0" fontId="3" fillId="0" borderId="0" xfId="0" applyFont="1" applyAlignment="1">
      <alignment horizontal="center"/>
    </xf>
    <xf numFmtId="187" fontId="3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" fillId="0" borderId="0" xfId="0" applyNumberFormat="1" applyFont="1"/>
    <xf numFmtId="4" fontId="4" fillId="2" borderId="0" xfId="0" applyNumberFormat="1" applyFont="1" applyFill="1"/>
    <xf numFmtId="0" fontId="5" fillId="0" borderId="0" xfId="2"/>
    <xf numFmtId="0" fontId="6" fillId="0" borderId="0" xfId="3" applyFont="1"/>
    <xf numFmtId="0" fontId="6" fillId="4" borderId="6" xfId="3" applyFont="1" applyFill="1" applyBorder="1"/>
    <xf numFmtId="0" fontId="9" fillId="4" borderId="7" xfId="3" applyFont="1" applyFill="1" applyBorder="1"/>
    <xf numFmtId="0" fontId="9" fillId="4" borderId="8" xfId="3" applyFont="1" applyFill="1" applyBorder="1"/>
    <xf numFmtId="0" fontId="10" fillId="4" borderId="9" xfId="3" applyFont="1" applyFill="1" applyBorder="1" applyAlignment="1">
      <alignment horizontal="center"/>
    </xf>
    <xf numFmtId="0" fontId="10" fillId="4" borderId="10" xfId="3" applyFont="1" applyFill="1" applyBorder="1"/>
    <xf numFmtId="0" fontId="10" fillId="4" borderId="11" xfId="3" applyFont="1" applyFill="1" applyBorder="1"/>
    <xf numFmtId="0" fontId="11" fillId="4" borderId="0" xfId="3" applyFont="1" applyFill="1" applyAlignment="1">
      <alignment horizontal="left"/>
    </xf>
    <xf numFmtId="0" fontId="11" fillId="4" borderId="0" xfId="3" applyFont="1" applyFill="1"/>
    <xf numFmtId="43" fontId="11" fillId="4" borderId="12" xfId="5" applyFont="1" applyFill="1" applyBorder="1"/>
    <xf numFmtId="0" fontId="6" fillId="4" borderId="9" xfId="3" applyFont="1" applyFill="1" applyBorder="1"/>
    <xf numFmtId="40" fontId="11" fillId="4" borderId="0" xfId="3" applyNumberFormat="1" applyFont="1" applyFill="1"/>
    <xf numFmtId="40" fontId="10" fillId="4" borderId="0" xfId="3" applyNumberFormat="1" applyFont="1" applyFill="1"/>
    <xf numFmtId="43" fontId="11" fillId="4" borderId="0" xfId="5" applyFont="1" applyFill="1" applyBorder="1"/>
    <xf numFmtId="0" fontId="6" fillId="4" borderId="0" xfId="3" applyFont="1" applyFill="1"/>
    <xf numFmtId="40" fontId="6" fillId="4" borderId="0" xfId="5" applyNumberFormat="1" applyFont="1" applyFill="1" applyBorder="1"/>
    <xf numFmtId="43" fontId="8" fillId="4" borderId="12" xfId="5" applyFont="1" applyFill="1" applyBorder="1"/>
    <xf numFmtId="0" fontId="6" fillId="4" borderId="9" xfId="3" applyFont="1" applyFill="1" applyBorder="1" applyAlignment="1">
      <alignment horizontal="center"/>
    </xf>
    <xf numFmtId="0" fontId="6" fillId="4" borderId="0" xfId="3" applyFont="1" applyFill="1" applyAlignment="1">
      <alignment horizontal="center"/>
    </xf>
    <xf numFmtId="40" fontId="6" fillId="4" borderId="0" xfId="5" applyNumberFormat="1" applyFont="1" applyFill="1" applyBorder="1" applyAlignment="1">
      <alignment horizontal="center"/>
    </xf>
    <xf numFmtId="0" fontId="6" fillId="4" borderId="0" xfId="3" applyFont="1" applyFill="1" applyAlignment="1">
      <alignment horizontal="left"/>
    </xf>
    <xf numFmtId="188" fontId="6" fillId="4" borderId="0" xfId="5" applyNumberFormat="1" applyFont="1" applyFill="1" applyBorder="1"/>
    <xf numFmtId="0" fontId="11" fillId="4" borderId="12" xfId="3" applyFont="1" applyFill="1" applyBorder="1"/>
    <xf numFmtId="43" fontId="6" fillId="4" borderId="12" xfId="5" applyFont="1" applyFill="1" applyBorder="1"/>
    <xf numFmtId="0" fontId="6" fillId="4" borderId="12" xfId="3" applyFont="1" applyFill="1" applyBorder="1"/>
    <xf numFmtId="0" fontId="6" fillId="4" borderId="14" xfId="3" applyFont="1" applyFill="1" applyBorder="1"/>
    <xf numFmtId="0" fontId="6" fillId="4" borderId="5" xfId="3" applyFont="1" applyFill="1" applyBorder="1"/>
    <xf numFmtId="40" fontId="6" fillId="4" borderId="5" xfId="5" applyNumberFormat="1" applyFont="1" applyFill="1" applyBorder="1"/>
    <xf numFmtId="0" fontId="6" fillId="4" borderId="15" xfId="3" applyFont="1" applyFill="1" applyBorder="1"/>
    <xf numFmtId="0" fontId="11" fillId="0" borderId="6" xfId="3" applyFont="1" applyBorder="1"/>
    <xf numFmtId="0" fontId="11" fillId="0" borderId="7" xfId="3" applyFont="1" applyBorder="1"/>
    <xf numFmtId="0" fontId="11" fillId="0" borderId="8" xfId="3" applyFont="1" applyBorder="1"/>
    <xf numFmtId="0" fontId="11" fillId="0" borderId="9" xfId="3" applyFont="1" applyBorder="1"/>
    <xf numFmtId="0" fontId="11" fillId="0" borderId="0" xfId="3" applyFont="1"/>
    <xf numFmtId="0" fontId="11" fillId="0" borderId="12" xfId="3" applyFont="1" applyBorder="1"/>
    <xf numFmtId="14" fontId="11" fillId="0" borderId="0" xfId="3" applyNumberFormat="1" applyFont="1"/>
    <xf numFmtId="0" fontId="11" fillId="0" borderId="14" xfId="3" applyFont="1" applyBorder="1"/>
    <xf numFmtId="0" fontId="11" fillId="0" borderId="5" xfId="3" applyFont="1" applyBorder="1"/>
    <xf numFmtId="0" fontId="11" fillId="0" borderId="15" xfId="3" applyFont="1" applyBorder="1"/>
    <xf numFmtId="0" fontId="5" fillId="0" borderId="0" xfId="3"/>
    <xf numFmtId="188" fontId="5" fillId="0" borderId="0" xfId="2" applyNumberFormat="1"/>
    <xf numFmtId="0" fontId="5" fillId="0" borderId="1" xfId="2" applyBorder="1"/>
    <xf numFmtId="188" fontId="5" fillId="0" borderId="1" xfId="2" applyNumberFormat="1" applyBorder="1"/>
    <xf numFmtId="4" fontId="4" fillId="0" borderId="0" xfId="0" applyNumberFormat="1" applyFont="1"/>
    <xf numFmtId="0" fontId="4" fillId="0" borderId="0" xfId="0" applyFont="1"/>
    <xf numFmtId="43" fontId="4" fillId="0" borderId="0" xfId="1" applyFont="1"/>
    <xf numFmtId="4" fontId="12" fillId="2" borderId="0" xfId="0" applyNumberFormat="1" applyFont="1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8" fillId="4" borderId="13" xfId="5" applyFont="1" applyFill="1" applyBorder="1"/>
    <xf numFmtId="0" fontId="11" fillId="4" borderId="9" xfId="3" applyFont="1" applyFill="1" applyBorder="1"/>
    <xf numFmtId="0" fontId="0" fillId="0" borderId="1" xfId="0" applyBorder="1"/>
    <xf numFmtId="4" fontId="4" fillId="0" borderId="1" xfId="0" applyNumberFormat="1" applyFont="1" applyBorder="1"/>
    <xf numFmtId="43" fontId="4" fillId="0" borderId="1" xfId="1" applyFont="1" applyBorder="1"/>
    <xf numFmtId="0" fontId="3" fillId="0" borderId="1" xfId="2" applyFont="1" applyBorder="1" applyAlignment="1">
      <alignment horizontal="center"/>
    </xf>
    <xf numFmtId="0" fontId="5" fillId="0" borderId="1" xfId="2" applyBorder="1" applyAlignment="1">
      <alignment horizontal="center"/>
    </xf>
    <xf numFmtId="188" fontId="3" fillId="0" borderId="1" xfId="2" applyNumberFormat="1" applyFont="1" applyBorder="1" applyAlignment="1">
      <alignment horizontal="center"/>
    </xf>
    <xf numFmtId="188" fontId="14" fillId="0" borderId="1" xfId="2" applyNumberFormat="1" applyFont="1" applyBorder="1"/>
    <xf numFmtId="188" fontId="0" fillId="0" borderId="1" xfId="0" applyNumberFormat="1" applyBorder="1"/>
    <xf numFmtId="0" fontId="13" fillId="0" borderId="1" xfId="2" applyFont="1" applyBorder="1" applyAlignment="1">
      <alignment horizontal="center"/>
    </xf>
    <xf numFmtId="0" fontId="7" fillId="3" borderId="2" xfId="3" applyFont="1" applyFill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/>
    </xf>
    <xf numFmtId="0" fontId="7" fillId="3" borderId="4" xfId="3" applyFont="1" applyFill="1" applyBorder="1" applyAlignment="1">
      <alignment horizontal="center" vertical="center"/>
    </xf>
    <xf numFmtId="0" fontId="8" fillId="0" borderId="0" xfId="3" applyFont="1" applyAlignment="1">
      <alignment horizontal="center"/>
    </xf>
    <xf numFmtId="0" fontId="6" fillId="0" borderId="5" xfId="3" applyFont="1" applyBorder="1" applyAlignment="1">
      <alignment horizontal="center"/>
    </xf>
  </cellXfs>
  <cellStyles count="6">
    <cellStyle name="Comma" xfId="1" builtinId="3"/>
    <cellStyle name="Normal" xfId="0" builtinId="0"/>
    <cellStyle name="Normal 2" xfId="2" xr:uid="{A810B37C-2235-4FB3-B5D1-9ABD17FA2737}"/>
    <cellStyle name="Normal 2 2" xfId="4" xr:uid="{D2E6BE70-2B3A-4729-B048-5702685EB69E}"/>
    <cellStyle name="จุลภาค 2" xfId="5" xr:uid="{E6846202-9672-4EBE-BD63-46A593E32F65}"/>
    <cellStyle name="ปกติ 2" xfId="3" xr:uid="{2BE466C1-62FF-4904-BC7E-C2387C7EC89C}"/>
  </cellStyles>
  <dxfs count="2"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0</xdr:row>
      <xdr:rowOff>152400</xdr:rowOff>
    </xdr:from>
    <xdr:ext cx="1447067" cy="752475"/>
    <xdr:pic>
      <xdr:nvPicPr>
        <xdr:cNvPr id="2" name="Picture 1" descr="TPS AUTOS">
          <a:extLst>
            <a:ext uri="{FF2B5EF4-FFF2-40B4-BE49-F238E27FC236}">
              <a16:creationId xmlns:a16="http://schemas.microsoft.com/office/drawing/2014/main" id="{FB2B06CC-0824-4BF0-AE3A-8A0D834ED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52400"/>
          <a:ext cx="1447067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4.589801504633" createdVersion="8" refreshedVersion="8" minRefreshableVersion="3" recordCount="289" xr:uid="{E03DE51F-1A5D-429F-9B1D-6036A74F8BA3}">
  <cacheSource type="worksheet">
    <worksheetSource ref="A1:I290" sheet="11020104"/>
  </cacheSource>
  <cacheFields count="9">
    <cacheField name="วันที่" numFmtId="14">
      <sharedItems containsSemiMixedTypes="0" containsNonDate="0" containsDate="1" containsString="0" minDate="2568-09-30T00:00:00" maxDate="2569-01-01T00:00:00"/>
    </cacheField>
    <cacheField name="คำอธิบาย" numFmtId="0">
      <sharedItems/>
    </cacheField>
    <cacheField name="สมุด" numFmtId="0">
      <sharedItems/>
    </cacheField>
    <cacheField name="ใบสำคัญ" numFmtId="0">
      <sharedItems/>
    </cacheField>
    <cacheField name="Customer Name" numFmtId="0">
      <sharedItems containsBlank="1" count="331">
        <s v="บงกช ศรัทธาวรกุล"/>
        <s v="จุฬา สังฆวัตร"/>
        <s v="เอนก ศรีชายวิวัฒนกุล"/>
        <s v="ณัฐฐา อุดสาย"/>
        <s v="มิตรชัย ประสิทธิ์"/>
        <s v="ศุภนิจ พรธีระภัทร"/>
        <s v="ปนิตา อินทรวงศ์"/>
        <s v="เฉลิมเกียรติ อากาศสุภา"/>
        <s v="โคตรคาร์ ทรานสปอร์ต"/>
        <s v="ประยูร สัมฤทธิกุล"/>
        <s v="บจ.สุขสมบูรณ์2022"/>
        <s v="วรายุกนิษฐ มณีอินทร์"/>
        <s v="บจ.โคตรคาร์ ทรานสปอร์ต"/>
        <s v="เรวัติ เชื้อแสง"/>
        <s v="SIU YUEN POON"/>
        <s v="กัญญาภรณ์ พุทธเจริญลาภ"/>
        <s v="ธัญมน กิราสุข"/>
        <s v="พรหมนิพิฐ เหมือนรอดดี"/>
        <s v="ศรีนคร จันทะปัญญา"/>
        <s v="ชัชวาล ตระการประไพ"/>
        <s v="ปรเมษฐ์ วรเลิศโกศล"/>
        <s v="ปุณยนุช ธรรมศิริ"/>
        <s v="การันต์ บริรักษ์สัมพันธ์"/>
        <s v="ศุภกร เจนกุลเจริญ"/>
        <s v="นัยน์ปพร  จันดี"/>
        <s v="ณภัสญาณ์ เลิศวรรธน์กุล"/>
        <s v="สุดาทิพย์ ศรีสร้อย"/>
        <s v="ธนกฤต ฤทธิ์ภักดีกุล"/>
        <s v="จิตตาภา ขุนทอง"/>
        <s v="ณัฎฐา ณ บางช้าง"/>
        <s v="ธรรมธร เกตุแก้ว"/>
        <s v="สุภาธินี อินทโสภา"/>
        <s v="วิรุฬห์ มูซอ"/>
        <s v="สุดนารี แซ่ลี้"/>
        <s v="นาฏนภา เป้าปราณี"/>
        <s v="ณัฐพร แปงวัน"/>
        <s v="ศศินันท์ คิรินทร์รัตนะ"/>
        <s v="นพรัตน์ ศักดิ์ศิริ"/>
        <s v="กชกร วัชราไทย"/>
        <s v="ไอลดา ไชยศรี"/>
        <s v="ธีรวุฒิ นิลเหลือง"/>
        <s v="สิริรัตน์  ตรงต่อศักดิ์"/>
        <s v="นิวัฒน์ จีรวงศ์สุนทร"/>
        <s v="ยลดา อาหรับ"/>
        <s v="กัญญา อินทะมา"/>
        <s v="นวกชมณ บุญรอดรักษุ์"/>
        <s v="อัครวัฒน์ เดชานันท์เสถียร"/>
        <s v="ชุติมา บุญสูง"/>
        <s v="อินทิรา เฉลิมวงศ์"/>
        <s v="ศุภกานต์ หลำนุ้ย"/>
        <s v="พิทยารัตน์ มูลจันดา"/>
        <s v="ภควัต ส่งคุณฤทธิการ"/>
        <s v="จิราภา โหมดวิจิตร"/>
        <s v="มณฑป โรจนวิสุทธิ์"/>
        <s v="นิรัตน์ สุวรรณวิชัย"/>
        <s v="ปรเมศวร์ เอี่ยมเต็ง"/>
        <s v="กษิรา บุญอินทร์"/>
        <s v="สมปรารถนา คล้ายวิเชียร"/>
        <s v="บุษกร แป้นขาว"/>
        <s v="สมประสงค์ เชิดชู"/>
        <s v="ปาณิศรา ธนะชัยธิรดา"/>
        <s v="อาทิตยา ภัทรบุญภักดิ์"/>
        <s v="รุ่งธรรม เหลืองรุ่งวสันต์"/>
        <s v="สุกัลย์ เหลืองพรนุวัฒน์"/>
        <s v="อนาคิน ธนรุ่งปัญญาสิทธิ์"/>
        <s v="พงษ์ชัย เตียวรัตนกุล"/>
        <s v="ทรงวุฒิ พรมโท"/>
        <s v="ศศมน พุทธสอน"/>
        <s v="ธัญวลัย ต่างประภา"/>
        <s v="ธนนดา พันธุ์ธนวิบูลย์"/>
        <s v="วันชัย อนุชาด"/>
        <s v="ณัฐวุฒิ ทาตุ๊"/>
        <s v="จันทร สังข์สุวรรณ"/>
        <s v="ชุมาพร นนท์ปฏิมากุล"/>
        <s v="จริยา พิมละมาด"/>
        <s v="นันท์นภัส สาโรวาท"/>
        <s v="คมกฤษณ์ วังตระกูล"/>
        <s v="ภาคิณ ประเสริฐจิต"/>
        <s v="ณัฐพงษ์ กองชัยมงคล"/>
        <s v="สุรจิต เมธีวิทยา"/>
        <s v="นารีรัตน์ คำภิระปาวงศ์"/>
        <s v="รินทร์ลภัส ปิจดี"/>
        <s v="ธีระพงษ์ ตันสิทธิพันธ์"/>
        <s v="จิดาภา อริยพฤกษ์"/>
        <s v="กษิรา  บุญอินทร์"/>
        <s v="ศุภกานต์  หลำนุ้ย"/>
        <s v="ปาณิศรา  ธนะชัยธิรดา"/>
        <s v="สุภาธินี  อินทโสภา"/>
        <s v="ธรรมธร  เกตุแก้ว"/>
        <s v="วิรุฬห์  มูซอ"/>
        <s v="นพรัตน์  ศักดิ์ศิริ"/>
        <s v="ชุติมา  บุญสูง"/>
        <s v="ศศมน  พุทธสอน"/>
        <s v="อนาคิน  ธนรุ่งปัญญาสิทธิ์"/>
        <s v="นารีรัตน์  คำภิระปาวงศ์"/>
        <s v="พิทยารัตน์  มูลจันดา"/>
        <s v="จิราภา  โหมดวิจิตร"/>
        <s v="ศศินันท์  คิรินทร์รัตนะ"/>
        <s v="จิดาภา  อริยพฤกษ์"/>
        <s v="ไอลดา  ไชยศรี"/>
        <s v="ยลดา   อาหรับ"/>
        <s v="ปรเมศวร์  เอี่ยมเต็ง"/>
        <s v="อาทิตยา  ภัทรบุญภักดิ์"/>
        <s v="มณฑป  โรจนวิสุทธิ์"/>
        <s v="วันชัย  อนุชาด"/>
        <s v="บุษกร  แป้นขาว"/>
        <s v="ณัฐพงษ์  กองชัยมงคล"/>
        <s v="ธนนดา  พันธุ์ธนวิบูลย์"/>
        <s v="อมาวศรี  ยิ่งธนพิบูลย์"/>
        <s v="อาภรณ์  อิสมาแอล"/>
        <s v="นาฏนภา  เป้าปราณี"/>
        <s v="กชกร  วัชราไทย"/>
        <s v="กัญญา  อินทะมา"/>
        <s v="พงษ์ชัย   เตียวรัตนกุล"/>
        <s v="อินทิรา  เฉลิมวงศ์"/>
        <s v="วาสนา  หมอกเจริญ"/>
        <s v="ณัฏฐา  ณ บางช้าง"/>
        <s v="สุดนารี  แซ่ลี้"/>
        <s v="ธีรวุฒิ  นิลเหลือง"/>
        <s v="ณัฐวุฒิ  ทาตุ๊"/>
        <s v="อัครวัฒน์  เดชานันท์เสถียร"/>
        <s v="นิรัตน์  สุวรรณวิชัย"/>
        <s v="รุ่งธรรม   เหลืองรุ่งวสันต์"/>
        <s v="สุกัลย์  เหลืองพรนุวัฒน์"/>
        <s v="จริยา  พิมละมาด"/>
        <s v="ชุมาพร  นนท์ปฎิมากุล"/>
        <s v="คมกฤษณ์  วังตระกูล"/>
        <s v="จันทร  สังข์สุวรรณ"/>
        <s v="ธัญวลัย  ต่างประภา"/>
        <s v="รินทร์ลภัส  ปิจดี"/>
        <s v="ธีระพงษ์  ตันสิทธิพันธ์"/>
        <s v="ณัฐพร  แปงวัน"/>
        <s v="นิวัฒน์   จีรวงศ์สุนทร"/>
        <s v="นวกชมณ  บุญรอดรักษุ์"/>
        <s v="ภควัต   ส่งคุณฤทธิการ"/>
        <s v="สมประสงค์   เชิดชู"/>
        <s v="นันท์นภัส   สาโรวาท"/>
        <s v="ณัฐพล  จรัสสุขสวัสดิ์"/>
        <s v="สุรจิต  เมธีวิทยา"/>
        <s v="สมปรารถนา  คล้ายวิเชียร"/>
        <s v="ภาคิณ  ประเสริฐจิต"/>
        <s v="ทรงวุฒิ  พรมโท  [ฌHC-25120015]"/>
        <s v="จิตตาภา  ขุนทอง"/>
        <s v="ธนกฤต  ฤทธิ์ภักดีกุล"/>
        <s v="สุดาทิพย์  ศรีสร้อย"/>
        <s v="อมาวศรี ยิ่งธนพิบูลย์"/>
        <s v="อาภรณ์ อิสมาแอล"/>
        <s v="วาสนา หมอกเจริญ"/>
        <s v="มฑป โรจนวิสุทธิ์" u="1"/>
        <s v="คุณ ธีรวุฒิ  นิลเหลือง" u="1"/>
        <s v="คุณ ไอลดา  ไชยศรี" u="1"/>
        <s v="คุณ สุดาทิพย์  ศรีสร้อย" u="1"/>
        <s v="คุณ อินทิรา  เฉลิมวงศ์" u="1"/>
        <s v="คุณ กษิรา  บุญอินทร์" u="1"/>
        <s v="คุณ ยลดา   อาหรับ" u="1"/>
        <s v="คุณ สมประสงค์   เชิดชู" u="1"/>
        <s v="คุณ ศุภกานต์  หลำนุ้ย" u="1"/>
        <s v="คุณ ณัฐวุฒิ  ทาตุ๊" u="1"/>
        <s v="คุณ อัครวัฒน์  เดชานันท์เสถียร" u="1"/>
        <s v="คุณ ชุติมา  บุญสูง" u="1"/>
        <s v="คุณ มณฑป  โรจนวิสุทธิ์" u="1"/>
        <s v="คุณ สุรจิต  เมธีวิทยา" u="1"/>
        <s v="คุณสมปรารถนา  คล้ายวิเชียร" u="1"/>
        <s v="คุณ ภาคิณ  ประเสริฐจิต" u="1"/>
        <s v="คุณทรงวุฒิ  พรมโท  [ฌHC-25120015]" u="1"/>
        <s v="คุณ นัยน์ปพร  จันดี" u="1"/>
        <s v="คุณ จิตตาภา  ขุนทอง" u="1"/>
        <s v="คุณ สุภาธินี  อินทโสภา" u="1"/>
        <s v="คุณ สุดนารี  แซ่ลี้" u="1"/>
        <s v="คุณ วิรุฬห์  มูซอ" u="1"/>
        <s v="คุณ ธนกฤต  ฤทธิ์ภักดีกุล" u="1"/>
        <s v="คุณ นพรัตน์  ศักดิ์ศิริ" u="1"/>
        <s v="คุณ รุ่งธรรม   เหลืองรุ่งวสันต์" u="1"/>
        <s v="คุณ สุกัลย์  เหลืองพรนุวัฒน์" u="1"/>
        <s v="คุณ จริยา  พิมละมาด" u="1"/>
        <s v="คุณ ชุมาพร  นนท์ปฎิมากุล" u="1"/>
        <s v="คุณ คมกฤษณ์  วังตระกูล" u="1"/>
        <s v="คุณ จันทร  สังข์สุวรรณ" u="1"/>
        <s v="คุณ ธัญวลัย  ต่างประภา" u="1"/>
        <s v="คุณ รินทร์ลภัส  ปิจดี" u="1"/>
        <s v="คุณ ธีระพงษ์  ตันสิทธิพันธ์" u="1"/>
        <s v="คุณณัฐพร  แปงวัน" u="1"/>
        <s v="คุณนิวัฒน์   จีรวงศ์สุนทร" u="1"/>
        <s v="คุณนวกชมณ  บุญรอดรักษุ์" u="1"/>
        <s v="คุณภควัต   ส่งคุณฤทธิการ" u="1"/>
        <s v="คุณ นันท์นภัส   สาโรวาท" u="1"/>
        <s v="คุณ ณัฐพล  จรัสสุขสวัสดิ์" u="1"/>
        <s v="คุณนาฏนภา  เป้าปราณี" u="1"/>
        <s v="คุณกชกร  วัชราไทย" u="1"/>
        <s v="คุณสิริรัตน์  ตรงต่อศักดิ์" u="1"/>
        <s v="คุณกัญญา  อินทะมา" u="1"/>
        <s v="คุณพงษ์ชัย   เตียวรัตนกุล" u="1"/>
        <s v="คุณ วาสนา  หมอกเจริญ" u="1"/>
        <s v="คุณณัฏฐา  ณ บางช้าง" u="1"/>
        <s v="คุณ นิรัตน์  สุวรรณวิชัย" u="1"/>
        <s v="คุณ วันชัย  อนุชาด" u="1"/>
        <s v="คุณ บุษกร  แป้นขาว" u="1"/>
        <s v="คุณ ณัฐพงษ์  กองชัยมงคล" u="1"/>
        <s v="คุณ ธนนดา  พันธุ์ธนวิบูลย์" u="1"/>
        <s v="คุณ อมาวศรี  ยิ่งธนพิบูลย์" u="1"/>
        <s v="คุณ อาภรณ์  อิสมาแอล" u="1"/>
        <s v="คุณ ศศมน  พุทธสอน" u="1"/>
        <s v="คุณ อนาคิน  ธนรุ่งปัญญาสิทธิ์" u="1"/>
        <s v="คุณ นารีรัตน์  คำภิระปาวงศ์" u="1"/>
        <s v="คุณพิทยารัตน์  มูลจันดา" u="1"/>
        <s v="คุณจิราภา  โหมดวิจิตร" u="1"/>
        <s v="คุณศศินันท์  คิรินทร์รัตนะ" u="1"/>
        <s v="คุณ จิดาภา  อริยพฤกษ์" u="1"/>
        <s v="คุณ ปรเมศวร์  เอี่ยมเต็ง" u="1"/>
        <s v="คุณ อาทิตยา  ภัทรบุญภักดิ์" u="1"/>
        <s v="รับชำระหนี้จาก จริยา พิมละมาด" u="1"/>
        <s v="รับชำระหนี้จาก นันท์นภัส สาโรวาท" u="1"/>
        <s v="รับชำระหนี้จาก คมกฤษณ์ วังตระกูล" u="1"/>
        <s v="รับชำระหนี้จาก ภาคิณ ประเสริฐจิต" u="1"/>
        <s v="ฌTR-25120051 ณัฐพงษ์ กองชัยมงคล" u="1"/>
        <s v="ฌTB-25120175 ณัฐพงษ์ กองชัยมงคล" u="1"/>
        <s v="ฌTB-25120310 สุรจิต เมธีวิทยา" u="1"/>
        <s v="ฌTB-25120065 นารีรัตน์ คำภิระปาวงศ์" u="1"/>
        <s v="ฌTB-25120253 รินทร์ลภัส ปิจดี" u="1"/>
        <s v="ฌTB-25120292 ธีระพงษ์ ตันสิทธิพันธ์" u="1"/>
        <s v="ฌTB-25120306 จิดาภา อริยพฤกษ์" u="1"/>
        <s v="คุณ ปาณิศรา  ธนะชัยธิรดา" u="1"/>
        <s v="คุณธรรมธร  เกตุแก้ว" u="1"/>
        <s v="รับชำระหนี้จาก ศศมน พุทธสอน" u="1"/>
        <s v="รับชำระหนี้จาก ธัญวลัย ต่างประภา" u="1"/>
        <s v="รับชำระหนี้จาก ธนนดา พันธุ์ธนวิบูลย์" u="1"/>
        <s v="รับชำระหนี้จาก วันชัย อนุชาด" u="1"/>
        <s v="รับชำระหนี้จาก ณัฐวุฒิ ทาตุ๊" u="1"/>
        <s v="รับชำระหนี้จาก จันทร สังข์สุวรรณ" u="1"/>
        <s v="รับชำระหนี้จาก ชุมาพร นนท์ปฏิมากุล" u="1"/>
        <s v="รับชำระหนี้จาก สุกัลย์ เหลืองพรนุวัฒน์" u="1"/>
        <s v="รับชำระหนี้จาก อนาคิน ธนรุ่งปัญญาสิทธิ์" u="1"/>
        <s v="รับชำระหนี้จาก พงษ์ชัย เตียวรัตนกุล" u="1"/>
        <s v="รับชำระหนี้จาก ทรงวุฒิ พรมโท" u="1"/>
        <s v="รับชำระหนี้จาก สมประสงค์ เชิดชู" u="1"/>
        <s v="รับชำระหนี้จาก ปาณิศรา ธนะชัยธิรดา" u="1"/>
        <s v="รับชำระหนี้จาก อาทิตยา ภัทรบุญภักดิ์" u="1"/>
        <s v="รับชำระหนี้จาก รุ่งธรรม เหลืองรุ่งวสันต์" u="1"/>
        <s v="รับชำระหนี้จาก ปรเมศวร์ เอี่ยมเต็ง" u="1"/>
        <s v="รับชำระหนี้จาก กษิรา บุญอินทร์" u="1"/>
        <s v="รับชำระหนี้จาก สมปรารถนา คล้ายวิเชียร" u="1"/>
        <s v="รับชำระหนี้จาก บุษกร แป้นขาว" u="1"/>
        <s v="รับชำระหนี้จาก กัญญา อินทะมา" u="1"/>
        <s v="รับชำระหนี้จาก นวกชมณ บุญรอดรักษุ์" u="1"/>
        <s v="รับชำระหนี้จาก อัครวัฒน์ เดชานันท์เสถียร" u="1"/>
        <s v="รับชำระหนี้จาก ชุติมา บุญสูง" u="1"/>
        <s v="รับชำระหนี้จาก อินทิรา เฉลิมวงศ์" u="1"/>
        <s v="รับชำระหนี้จาก ศุภกานต์ หลำนุ้ย" u="1"/>
        <s v="รับชำระหนี้จาก พิทยารัตน์ มูลจันดา" u="1"/>
        <s v="รับชำระหนี้จาก ภควัต ส่งคุณฤทธิการ" u="1"/>
        <s v="รับชำระหนี้จาก จิราภา โหมดวิจิตร" u="1"/>
        <s v="รับชำระหนี้จาก มฑป โรจนวิสุทธิ์" u="1"/>
        <s v="รับชำระหนี้จาก นิรัตน์ สุวรรณวิชัย" u="1"/>
        <s v="รับชำระหนี้จาก นพรัตน์ ศักดิ์ศิริ" u="1"/>
        <s v="รับชำระหนี้จาก กชกร วัชราไทย" u="1"/>
        <s v="รับชำระหนี้จาก ไอลดา ไชยศรี" u="1"/>
        <s v="รับชำระหนี้จาก ธีรวุฒิ นิลเหลือง" u="1"/>
        <s v="รับชำระหนี้จาก สิริรัตน์  ตรงต่อศักดิ์" u="1"/>
        <s v="รับชำระหนี้จาก สุดาทิพย์ ศรีสร้อย" u="1"/>
        <s v="รับชำระหนี้จาก นิวัฒน์ จีรวงศ์สุนทร" u="1"/>
        <s v="รับชำระหนี้จาก ยลดา อาหรับ" u="1"/>
        <s v="รับชำระหนี้จาก สุดนารี แซ่ลี้" u="1"/>
        <s v="รับชำระหนี้จาก ธนกฤต ฤทธิ์ภักดีกุล" u="1"/>
        <s v="รับชำระหนี้จาก นาฏนภา เป้าปราณี" u="1"/>
        <s v="รับชำระหนี้จาก ณัฐพร แปงวัน" u="1"/>
        <s v="รับชำระหนี้จาก ศศินันท์ คิรินทร์รัตนะ" u="1"/>
        <s v="บันทึกการขายรถ ณภัสญาณ์ เลิศวรรธน์กุล" u="1"/>
        <s v="บันทึกการขายรถ สุดาทิพย์ ศรีสร้อย" u="1"/>
        <s v="บันทึกการขายรถ ธนกฤต ฤทธิ์ภักดีกุล" u="1"/>
        <s v="บันทึกการขายรถ จิตตาภา ขุนทอง" u="1"/>
        <s v="รับชำระหนี้จาก ณภัสญาณ์ เลิศวรรธน์กุล" u="1"/>
        <s v="รับชำระหนี้จาก จิตตาภา ขุนทอง" u="1"/>
        <s v="รับชำระหนี้จาก ณัฎฐา ณ บางช้าง" u="1"/>
        <s v="รับชำระหนี้จาก ธรรมธร เกตุแก้ว" u="1"/>
        <s v="รับชำระหนี้จาก สุภาธินี อินทโสภา" u="1"/>
        <s v="รับชำระหนี้จาก วิรุฬห์ มูซอ" u="1"/>
        <s v="บันทึกการขายรถ ปุณยนุช ธรรมศิริ" u="1"/>
        <s v="บันทึกการขายรถ การันต์ บริรักษ์สัมพันธ์" u="1"/>
        <s v="บันทึกการขายรถ ศุภกร เจนกุลเจริญ" u="1"/>
        <s v="รับชำระหนี้จาก นัยน์ปพร  จันดี" u="1"/>
        <s v="รับชำระหนี้จาก บจ.สุขสมบูรณ์2022" u="1"/>
        <s v="บันทึกการขายเชื่อรถยนต์ ประยูร สัมฤทธิกุล" u="1"/>
        <s v="บันทึกการขายเชื่อรถยนต์ บจ.สุขสมบูรณ์2022" u="1"/>
        <s v="ITB-25110024วรายุกนิษฐ มณีอินทร์" u="1"/>
        <s v="ITB-25110027 บจ.โคตรคาร์ ทรานสปอร์ต" u="1"/>
        <s v="บันทึกการขายรถ วรายุกนิษฐ มณีอินทร์" u="1"/>
        <s v="บันทึกการขายรถ บจ.โคตรคาร์ ทรานสปอร์ต" u="1"/>
        <s v="ฌTB-25110003 เรวัติ เชื้อแสง" u="1"/>
        <s v="บันทึกการขายรถ เรวัติ เชื้อแสง" u="1"/>
        <s v="ฌTB-25110006 บจ.โคตรคาร์ ทรานสปอร์ต" u="1"/>
        <s v="ฌTB-25110010 SIU YUEN POON" u="1"/>
        <s v="บันทึกการขายรถ SIU YUEN POON" u="1"/>
        <s v="ฌTB-25110018 บจ.โคตรคาร์ ทรานสปอร์ต" u="1"/>
        <s v="รับชำระหนี้จาก กัญญาภรณ์ พุทธเจริญลาภ" u="1"/>
        <s v="บันทึกการขายรถ กัญญาภรณ์ พุทธเจริญลาภ" u="1"/>
        <s v="รับชำระหนี้จาก ธัญมน กิราสุข" u="1"/>
        <s v="บันทึกการขายรถ ธัญมน กิราสุข" u="1"/>
        <s v="ฌTB-25110053 พรหมนิพิฐ เหมือนรอดดี" u="1"/>
        <s v="รับชำระหนี้จาก ศรีนคร จันทะปัญญา" u="1"/>
        <s v="บันทึกการขายรถ พรหมนิพิฐ เหมือนรอดดี" u="1"/>
        <s v="บันทึกการขายรถ ศรีนคร จันทะปัญญา" u="1"/>
        <s v="รับชำระหนี้จาก ชัชวาล ตระการประไพ" u="1"/>
        <s v="รับชำระหนี้จาก ปรเมษฐ์ วรเลิศโกศล" u="1"/>
        <s v="บันทึกการขายรถ ชัชวาล ตระการประไพ" u="1"/>
        <s v="บันทึกการขายรถ ปรเมษฐ์ วรเลิศโกศล" u="1"/>
        <s v="รับชำระหนี้จาก ปุณยนุช ธรรมศิริ" u="1"/>
        <s v="รับชำระหนี้จาก การันต์ บริรักษ์สัมพันธ์" u="1"/>
        <s v="รับชำระหนี้จาก ศุภกร เจนกุลเจริญ" u="1"/>
        <s v="รับชำระหนี้จาก โคตรคาร์ ทรานสปอร์ต" u="1"/>
        <s v="บันทึกการขายเชื่อรถยนต์ โคตรคาร์ ทรานสปอร์ต" u="1"/>
        <s v="รับชำระหนี้จาก ประยูร สัมฤทธิกุล" u="1"/>
        <s v="ITB-25090113 บงกช ศรัทธาวรกุล" u="1"/>
        <s v="บันทึกการขายเชื่อรถยนต์ บงกช ศรัทธาวรกุล" u="1"/>
        <s v="บันทึกการขายเชื่อรถยนต์ จุฬา สังฆวัตร" u="1"/>
        <s v="รับชำระหนี้จาก จุฬา สังฆวัตร" u="1"/>
        <s v="บันทึกการขายเชื่อรถยนต์ เอนก ศรีชายวิวัฒนกุล" u="1"/>
        <s v="บันทึกการขายเชื่อรถยนต์ ณัฐฐา อุดสาย" u="1"/>
        <s v="บันทึกการขายเชื่อรถยนต์ มิตรชัย ประสิทธิ์" u="1"/>
        <s v="รับชำระหนี้จาก มิตรชัย ประสิทธิ์" u="1"/>
        <s v="รับชำระหนี้จาก ณัฐฐา อุดสาย" u="1"/>
        <s v="รับชำระหนี้จาก ศุภนิจ พรธีระภัทร" u="1"/>
        <s v="บันทึกการขายเชื่อรถยนต์ ศุภนิจ พรธีระภัทร" u="1"/>
        <s v="รับชำระหนี้จาก ปนิตา อินทรวงศ์" u="1"/>
        <s v="บันทึกการขายเชื่อรถยนต์ ปนิตา อินทรวงศ์" u="1"/>
        <s v="รับชำระหนี้จาก เฉลิมเกียรติ อากาศสุภา" u="1"/>
        <s v="บันทึกการขายเชื่อรถยนต์ เฉลิมเกียรติ อากาศสุภา" u="1"/>
        <s v="รับชำระหนี้จาก อมาวศรี ยิ่งธนพิบูลย์" u="1"/>
        <s v="รับชำระหนี้จาก อาภรณ์ อิสมาแอล" u="1"/>
        <s v="รับชำระหนี้จาก วาสนา หมอกเจริญ" u="1"/>
        <s v="รับชำระหนี้จาก เอนก ศรีชายวิวัฒนกุล" u="1"/>
        <m u="1"/>
      </sharedItems>
    </cacheField>
    <cacheField name="เดบิต" numFmtId="4">
      <sharedItems containsString="0" containsBlank="1" containsNumber="1" minValue="2406.4299999999998" maxValue="1249000"/>
    </cacheField>
    <cacheField name="เครดิต" numFmtId="4">
      <sharedItems containsString="0" containsBlank="1" containsNumber="1" minValue="2406.4299999999998" maxValue="1249000"/>
    </cacheField>
    <cacheField name="ยอดคงเหลือ" numFmtId="4">
      <sharedItems containsSemiMixedTypes="0" containsString="0" containsNumber="1" minValue="-37534428.75" maxValue="7013493.1900000004"/>
    </cacheField>
    <cacheField name="Amount" numFmtId="4">
      <sharedItems containsSemiMixedTypes="0" containsString="0" containsNumber="1" minValue="-1249000" maxValue="12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d v="2568-09-30T00:00:00"/>
    <s v="ITB-25090113 บงกช ศรัทธาวรกุล"/>
    <s v="รับ"/>
    <s v="RVEM6809-001"/>
    <x v="0"/>
    <m/>
    <n v="899900"/>
    <n v="-899900"/>
    <n v="-899900"/>
  </r>
  <r>
    <d v="2568-09-30T00:00:00"/>
    <s v="ITB-25090113 บงกช ศรัทธาวรกุล"/>
    <s v="รับ"/>
    <s v="RVEM6809-001"/>
    <x v="0"/>
    <m/>
    <n v="8541.81"/>
    <n v="-908441.81"/>
    <n v="-8541.81"/>
  </r>
  <r>
    <d v="2568-09-30T00:00:00"/>
    <s v="บันทึกการขายเชื่อรถยนต์ บงกช ศรัทธาวรกุล"/>
    <s v="ขาย"/>
    <s v="SVVM6809-001"/>
    <x v="0"/>
    <n v="899900"/>
    <m/>
    <n v="-8541.81"/>
    <n v="899900"/>
  </r>
  <r>
    <d v="2568-09-30T00:00:00"/>
    <s v="บันทึกการขายเชื่อรถยนต์ บงกช ศรัทธาวรกุล"/>
    <s v="ขาย"/>
    <s v="SVVM6809-001"/>
    <x v="0"/>
    <n v="8541.81"/>
    <m/>
    <n v="0"/>
    <n v="8541.81"/>
  </r>
  <r>
    <d v="2568-10-02T00:00:00"/>
    <s v="บันทึกการขายเชื่อรถยนต์ จุฬา สังฆวัตร"/>
    <s v="ขาย"/>
    <s v="SVVM6810-001"/>
    <x v="1"/>
    <n v="1249000"/>
    <m/>
    <n v="1249000"/>
    <n v="1249000"/>
  </r>
  <r>
    <d v="2568-10-02T00:00:00"/>
    <s v="บันทึกการขายเชื่อรถยนต์ จุฬา สังฆวัตร"/>
    <s v="ขาย"/>
    <s v="SVVM6810-001"/>
    <x v="1"/>
    <n v="2769.16"/>
    <m/>
    <n v="1251769.1599999999"/>
    <n v="2769.16"/>
  </r>
  <r>
    <d v="2568-10-08T00:00:00"/>
    <s v="รับชำระหนี้จาก จุฬา สังฆวัตร"/>
    <s v="รับ"/>
    <s v="RVEM6810-001"/>
    <x v="1"/>
    <m/>
    <n v="1249000"/>
    <n v="2769.16"/>
    <n v="-1249000"/>
  </r>
  <r>
    <d v="2568-10-08T00:00:00"/>
    <s v="รับชำระหนี้จาก จุฬา สังฆวัตร"/>
    <s v="รับ"/>
    <s v="RVEM6810-001"/>
    <x v="1"/>
    <m/>
    <n v="2769.16"/>
    <n v="0"/>
    <n v="-2769.16"/>
  </r>
  <r>
    <d v="2568-10-10T00:00:00"/>
    <s v="รับชำระหนี้จาก เอนก ศรีชายวิวัฒนกุล"/>
    <s v="รับ"/>
    <s v="RVEM6810-002"/>
    <x v="2"/>
    <m/>
    <n v="899900"/>
    <n v="-899900"/>
    <n v="-899900"/>
  </r>
  <r>
    <d v="2568-10-10T00:00:00"/>
    <s v="รับชำระหนี้จาก เอนก ศรีชายวิวัฒนกุล"/>
    <s v="รับ"/>
    <s v="RVEM6810-002"/>
    <x v="2"/>
    <m/>
    <n v="15383.39"/>
    <n v="-915283.39"/>
    <n v="-15383.39"/>
  </r>
  <r>
    <d v="2568-10-11T00:00:00"/>
    <s v="บันทึกการขายเชื่อรถยนต์ ณัฐฐา อุดสาย"/>
    <s v="ขาย"/>
    <s v="SVVM6810-002"/>
    <x v="3"/>
    <n v="899900"/>
    <m/>
    <n v="-15383.39"/>
    <n v="899900"/>
  </r>
  <r>
    <d v="2568-10-11T00:00:00"/>
    <s v="บันทึกการขายเชื่อรถยนต์ ณัฐฐา อุดสาย"/>
    <s v="ขาย"/>
    <s v="SVVM6810-002"/>
    <x v="3"/>
    <n v="8609.2199999999993"/>
    <m/>
    <n v="-6774.17"/>
    <n v="8609.2199999999993"/>
  </r>
  <r>
    <d v="2568-10-11T00:00:00"/>
    <s v="บันทึกการขายเชื่อรถยนต์ เอนก ศรีชายวิวัฒนกุล"/>
    <s v="ขาย"/>
    <s v="SVVM6810-003"/>
    <x v="2"/>
    <n v="899900"/>
    <m/>
    <n v="893125.83"/>
    <n v="899900"/>
  </r>
  <r>
    <d v="2568-10-11T00:00:00"/>
    <s v="บันทึกการขายเชื่อรถยนต์ เอนก ศรีชายวิวัฒนกุล"/>
    <s v="ขาย"/>
    <s v="SVVM6810-003"/>
    <x v="2"/>
    <n v="15383.39"/>
    <m/>
    <n v="908509.22"/>
    <n v="15383.39"/>
  </r>
  <r>
    <d v="2568-10-14T00:00:00"/>
    <s v="บันทึกการขายเชื่อรถยนต์ มิตรชัย ประสิทธิ์"/>
    <s v="ขาย"/>
    <s v="SVVM6810-004"/>
    <x v="4"/>
    <n v="499900"/>
    <m/>
    <n v="1408409.22"/>
    <n v="499900"/>
  </r>
  <r>
    <d v="2568-10-14T00:00:00"/>
    <s v="บันทึกการขายเชื่อรถยนต์ มิตรชัย ประสิทธิ์"/>
    <s v="ขาย"/>
    <s v="SVVM6810-004"/>
    <x v="4"/>
    <n v="5384.24"/>
    <m/>
    <n v="1413793.46"/>
    <n v="5384.24"/>
  </r>
  <r>
    <d v="2568-10-15T00:00:00"/>
    <s v="รับชำระหนี้จาก มิตรชัย ประสิทธิ์"/>
    <s v="รับ"/>
    <s v="RVEM6810-003"/>
    <x v="4"/>
    <m/>
    <n v="499900"/>
    <n v="913893.46"/>
    <n v="-499900"/>
  </r>
  <r>
    <d v="2568-10-15T00:00:00"/>
    <s v="รับชำระหนี้จาก มิตรชัย ประสิทธิ์"/>
    <s v="รับ"/>
    <s v="RVEM6810-003"/>
    <x v="4"/>
    <m/>
    <n v="5384.24"/>
    <n v="908509.22"/>
    <n v="-5384.24"/>
  </r>
  <r>
    <d v="2568-10-15T00:00:00"/>
    <s v="รับชำระหนี้จาก ณัฐฐา อุดสาย"/>
    <s v="รับ"/>
    <s v="RVEM6810-004"/>
    <x v="3"/>
    <m/>
    <n v="899900"/>
    <n v="8609.2199999999993"/>
    <n v="-899900"/>
  </r>
  <r>
    <d v="2568-10-15T00:00:00"/>
    <s v="รับชำระหนี้จาก ณัฐฐา อุดสาย"/>
    <s v="รับ"/>
    <s v="RVEM6810-004"/>
    <x v="3"/>
    <m/>
    <n v="8609.2199999999993"/>
    <n v="0"/>
    <n v="-8609.2199999999993"/>
  </r>
  <r>
    <d v="2568-10-18T00:00:00"/>
    <s v="รับชำระหนี้จาก ศุภนิจ พรธีระภัทร"/>
    <s v="รับ"/>
    <s v="RVEM6810-005"/>
    <x v="5"/>
    <m/>
    <n v="899900"/>
    <n v="-899900"/>
    <n v="-899900"/>
  </r>
  <r>
    <d v="2568-10-18T00:00:00"/>
    <s v="บันทึกการขายเชื่อรถยนต์ ศุภนิจ พรธีระภัทร"/>
    <s v="ขาย"/>
    <s v="SVVM6810-005"/>
    <x v="5"/>
    <n v="899900"/>
    <m/>
    <n v="0"/>
    <n v="899900"/>
  </r>
  <r>
    <d v="2568-10-21T00:00:00"/>
    <s v="รับชำระหนี้จาก ปนิตา อินทรวงศ์"/>
    <s v="รับ"/>
    <s v="RVEM6810-006"/>
    <x v="6"/>
    <m/>
    <n v="499900"/>
    <n v="-499900"/>
    <n v="-499900"/>
  </r>
  <r>
    <d v="2568-10-21T00:00:00"/>
    <s v="รับชำระหนี้จาก ปนิตา อินทรวงศ์"/>
    <s v="รับ"/>
    <s v="RVEM6810-006"/>
    <x v="6"/>
    <m/>
    <n v="6062.62"/>
    <n v="-505962.62"/>
    <n v="-6062.62"/>
  </r>
  <r>
    <d v="2568-10-21T00:00:00"/>
    <s v="บันทึกการขายเชื่อรถยนต์ ปนิตา อินทรวงศ์"/>
    <s v="ขาย"/>
    <s v="SVVM6810-006"/>
    <x v="6"/>
    <n v="499900"/>
    <m/>
    <n v="-6062.62"/>
    <n v="499900"/>
  </r>
  <r>
    <d v="2568-10-21T00:00:00"/>
    <s v="บันทึกการขายเชื่อรถยนต์ ปนิตา อินทรวงศ์"/>
    <s v="ขาย"/>
    <s v="SVVM6810-006"/>
    <x v="6"/>
    <n v="6062.62"/>
    <m/>
    <n v="0"/>
    <n v="6062.62"/>
  </r>
  <r>
    <d v="2568-10-28T00:00:00"/>
    <s v="รับชำระหนี้จาก เฉลิมเกียรติ อากาศสุภา"/>
    <s v="รับ"/>
    <s v="RVEM6810-007"/>
    <x v="7"/>
    <m/>
    <n v="899900"/>
    <n v="-899900"/>
    <n v="-899900"/>
  </r>
  <r>
    <d v="2568-10-28T00:00:00"/>
    <s v="รับชำระหนี้จาก เฉลิมเกียรติ อากาศสุภา"/>
    <s v="รับ"/>
    <s v="RVEM6810-007"/>
    <x v="7"/>
    <m/>
    <n v="2533.7600000000002"/>
    <n v="-902433.76"/>
    <n v="-2533.7600000000002"/>
  </r>
  <r>
    <d v="2568-10-28T00:00:00"/>
    <s v="บันทึกการขายเชื่อรถยนต์ เฉลิมเกียรติ อากาศสุภา"/>
    <s v="ขาย"/>
    <s v="SVVM6810-007"/>
    <x v="7"/>
    <n v="899900"/>
    <m/>
    <n v="-2533.7600000000002"/>
    <n v="899900"/>
  </r>
  <r>
    <d v="2568-10-28T00:00:00"/>
    <s v="บันทึกการขายเชื่อรถยนต์ เฉลิมเกียรติ อากาศสุภา"/>
    <s v="ขาย"/>
    <s v="SVVM6810-007"/>
    <x v="7"/>
    <n v="2533.7600000000002"/>
    <m/>
    <n v="0"/>
    <n v="2533.7600000000002"/>
  </r>
  <r>
    <d v="2568-10-30T00:00:00"/>
    <s v="รับชำระหนี้จาก โคตรคาร์ ทรานสปอร์ต"/>
    <s v="รับ"/>
    <s v="RVEM6810-008"/>
    <x v="8"/>
    <m/>
    <n v="670000"/>
    <n v="-670000"/>
    <n v="-670000"/>
  </r>
  <r>
    <d v="2568-10-30T00:00:00"/>
    <s v="รับชำระหนี้จาก โคตรคาร์ ทรานสปอร์ต"/>
    <s v="รับ"/>
    <s v="RVEM6810-009"/>
    <x v="8"/>
    <m/>
    <n v="670000"/>
    <n v="-1340000"/>
    <n v="-670000"/>
  </r>
  <r>
    <d v="2568-10-30T00:00:00"/>
    <s v="บันทึกการขายเชื่อรถยนต์ โคตรคาร์ ทรานสปอร์ต"/>
    <s v="ขาย"/>
    <s v="SVVM6810-008"/>
    <x v="8"/>
    <n v="670000"/>
    <m/>
    <n v="-670000"/>
    <n v="670000"/>
  </r>
  <r>
    <d v="2568-10-30T00:00:00"/>
    <s v="บันทึกการขายเชื่อรถยนต์ โคตรคาร์ ทรานสปอร์ต"/>
    <s v="ขาย"/>
    <s v="SVVM6810-009"/>
    <x v="8"/>
    <n v="670000"/>
    <m/>
    <n v="0"/>
    <n v="670000"/>
  </r>
  <r>
    <d v="2568-10-31T00:00:00"/>
    <s v="รับชำระหนี้จาก ประยูร สัมฤทธิกุล"/>
    <s v="รับ"/>
    <s v="RVEM6810-010"/>
    <x v="9"/>
    <m/>
    <n v="599900"/>
    <n v="-599900"/>
    <n v="-599900"/>
  </r>
  <r>
    <d v="2568-10-31T00:00:00"/>
    <s v="รับชำระหนี้จาก บจ.สุขสมบูรณ์2022"/>
    <s v="รับ"/>
    <s v="RVEM6810-011"/>
    <x v="10"/>
    <m/>
    <n v="899900"/>
    <n v="-1499800"/>
    <n v="-899900"/>
  </r>
  <r>
    <d v="2568-10-31T00:00:00"/>
    <s v="รับชำระหนี้จาก บจ.สุขสมบูรณ์2022"/>
    <s v="รับ"/>
    <s v="RVEM6810-011"/>
    <x v="10"/>
    <m/>
    <n v="8322.4599999999991"/>
    <n v="-1508122.46"/>
    <n v="-8322.4599999999991"/>
  </r>
  <r>
    <d v="2568-10-31T00:00:00"/>
    <s v="บันทึกการขายเชื่อรถยนต์ ประยูร สัมฤทธิกุล"/>
    <s v="ขาย"/>
    <s v="SVVM6810-010"/>
    <x v="9"/>
    <n v="599900"/>
    <m/>
    <n v="-908222.46"/>
    <n v="599900"/>
  </r>
  <r>
    <d v="2568-10-31T00:00:00"/>
    <s v="บันทึกการขายเชื่อรถยนต์ บจ.สุขสมบูรณ์2022"/>
    <s v="ขาย"/>
    <s v="SVVM6810-011"/>
    <x v="10"/>
    <n v="899900"/>
    <m/>
    <n v="-8322.4599999999991"/>
    <n v="899900"/>
  </r>
  <r>
    <d v="2568-10-31T00:00:00"/>
    <s v="บันทึกการขายเชื่อรถยนต์ บจ.สุขสมบูรณ์2022"/>
    <s v="ขาย"/>
    <s v="SVVM6810-011"/>
    <x v="10"/>
    <n v="8322.4599999999991"/>
    <m/>
    <n v="0"/>
    <n v="8322.4599999999991"/>
  </r>
  <r>
    <d v="2568-11-04T00:00:00"/>
    <s v="ITB-25110024วรายุกนิษฐ มณีอินทร์"/>
    <s v="รับ"/>
    <s v="RVEM6811-001"/>
    <x v="11"/>
    <m/>
    <n v="469900"/>
    <n v="-469900"/>
    <n v="-469900"/>
  </r>
  <r>
    <d v="2568-11-04T00:00:00"/>
    <s v="ITB-25110027 บจ.โคตรคาร์ ทรานสปอร์ต"/>
    <s v="รับ"/>
    <s v="RVEM6811-002"/>
    <x v="12"/>
    <m/>
    <n v="670000"/>
    <n v="-1139900"/>
    <n v="-670000"/>
  </r>
  <r>
    <d v="2568-11-04T00:00:00"/>
    <s v="บันทึกการขายรถ วรายุกนิษฐ มณีอินทร์"/>
    <s v="ขาย"/>
    <s v="SVVM6811-001"/>
    <x v="11"/>
    <n v="469900"/>
    <m/>
    <n v="-670000"/>
    <n v="469900"/>
  </r>
  <r>
    <d v="2568-11-04T00:00:00"/>
    <s v="บันทึกการขายรถ บจ.โคตรคาร์ ทรานสปอร์ต"/>
    <s v="ขาย"/>
    <s v="SVVM6811-002"/>
    <x v="12"/>
    <n v="670000"/>
    <m/>
    <n v="0"/>
    <n v="670000"/>
  </r>
  <r>
    <d v="2568-11-06T00:00:00"/>
    <s v="ฌTB-25110003 เรวัติ เชื้อแสง"/>
    <s v="รับ"/>
    <s v="RVEM6811-003"/>
    <x v="13"/>
    <m/>
    <n v="609900"/>
    <n v="-609900"/>
    <n v="-609900"/>
  </r>
  <r>
    <d v="2568-11-06T00:00:00"/>
    <s v="บันทึกการขายรถ เรวัติ เชื้อแสง"/>
    <s v="ขาย"/>
    <s v="SVVM6811-003"/>
    <x v="13"/>
    <n v="609900"/>
    <m/>
    <n v="0"/>
    <n v="609900"/>
  </r>
  <r>
    <d v="2568-11-08T00:00:00"/>
    <s v="ฌTB-25110006 บจ.โคตรคาร์ ทรานสปอร์ต"/>
    <s v="รับ"/>
    <s v="RVEM6811-004"/>
    <x v="12"/>
    <m/>
    <n v="670000"/>
    <n v="-670000"/>
    <n v="-670000"/>
  </r>
  <r>
    <d v="2568-11-08T00:00:00"/>
    <s v="ฌTB-25110010 SIU YUEN POON"/>
    <s v="รับ"/>
    <s v="RVEM6811-005"/>
    <x v="14"/>
    <m/>
    <n v="469900"/>
    <n v="-1139900"/>
    <n v="-469900"/>
  </r>
  <r>
    <d v="2568-11-08T00:00:00"/>
    <s v="บันทึกการขายรถ บจ.โคตรคาร์ ทรานสปอร์ต"/>
    <s v="ขาย"/>
    <s v="SVVM6811-004"/>
    <x v="12"/>
    <n v="670000"/>
    <m/>
    <n v="-469900"/>
    <n v="670000"/>
  </r>
  <r>
    <d v="2568-11-08T00:00:00"/>
    <s v="บันทึกการขายรถ SIU YUEN POON"/>
    <s v="ขาย"/>
    <s v="SVVM6811-005"/>
    <x v="14"/>
    <n v="469900"/>
    <m/>
    <n v="0"/>
    <n v="469900"/>
  </r>
  <r>
    <d v="2568-11-12T00:00:00"/>
    <s v="ฌTB-25110018 บจ.โคตรคาร์ ทรานสปอร์ต"/>
    <s v="รับ"/>
    <s v="RVEM6811-006"/>
    <x v="12"/>
    <m/>
    <n v="670000"/>
    <n v="-670000"/>
    <n v="-670000"/>
  </r>
  <r>
    <d v="2568-11-12T00:00:00"/>
    <s v="บันทึกการขายรถ บจ.โคตรคาร์ ทรานสปอร์ต"/>
    <s v="ขาย"/>
    <s v="SVVM6811-006"/>
    <x v="12"/>
    <n v="670000"/>
    <m/>
    <n v="0"/>
    <n v="670000"/>
  </r>
  <r>
    <d v="2568-11-19T00:00:00"/>
    <s v="รับชำระหนี้จาก กัญญาภรณ์ พุทธเจริญลาภ"/>
    <s v="รับ"/>
    <s v="RVEM6811-007"/>
    <x v="15"/>
    <m/>
    <n v="469900"/>
    <n v="-469900"/>
    <n v="-469900"/>
  </r>
  <r>
    <d v="2568-11-19T00:00:00"/>
    <s v="รับชำระหนี้จาก กัญญาภรณ์ พุทธเจริญลาภ"/>
    <s v="รับ"/>
    <s v="RVEM6811-007"/>
    <x v="15"/>
    <m/>
    <n v="3264.57"/>
    <n v="-473164.57"/>
    <n v="-3264.57"/>
  </r>
  <r>
    <d v="2568-11-19T00:00:00"/>
    <s v="บันทึกการขายรถ กัญญาภรณ์ พุทธเจริญลาภ"/>
    <s v="ขาย"/>
    <s v="SVVM6811-007"/>
    <x v="15"/>
    <n v="469900"/>
    <m/>
    <n v="-3264.57"/>
    <n v="469900"/>
  </r>
  <r>
    <d v="2568-11-19T00:00:00"/>
    <s v="บันทึกการขายรถ กัญญาภรณ์ พุทธเจริญลาภ"/>
    <s v="ขาย"/>
    <s v="SVVM6811-007"/>
    <x v="15"/>
    <n v="3264.57"/>
    <m/>
    <n v="0"/>
    <n v="3264.57"/>
  </r>
  <r>
    <d v="2568-11-21T00:00:00"/>
    <s v="รับชำระหนี้จาก ธัญมน กิราสุข"/>
    <s v="รับ"/>
    <s v="RVEM6811-008"/>
    <x v="16"/>
    <m/>
    <n v="769900"/>
    <n v="-769900"/>
    <n v="-769900"/>
  </r>
  <r>
    <d v="2568-11-21T00:00:00"/>
    <s v="รับชำระหนี้จาก ธัญมน กิราสุข"/>
    <s v="รับ"/>
    <s v="RVEM6811-008"/>
    <x v="16"/>
    <m/>
    <n v="11569.91"/>
    <n v="-781469.91"/>
    <n v="-11569.91"/>
  </r>
  <r>
    <d v="2568-11-21T00:00:00"/>
    <s v="บันทึกการขายรถ ธัญมน กิราสุข"/>
    <s v="ขาย"/>
    <s v="SVVM6811-008"/>
    <x v="16"/>
    <n v="769900"/>
    <m/>
    <n v="-11569.91"/>
    <n v="769900"/>
  </r>
  <r>
    <d v="2568-11-21T00:00:00"/>
    <s v="บันทึกการขายรถ ธัญมน กิราสุข"/>
    <s v="ขาย"/>
    <s v="SVVM6811-008"/>
    <x v="16"/>
    <n v="11569.91"/>
    <m/>
    <n v="0"/>
    <n v="11569.91"/>
  </r>
  <r>
    <d v="2568-11-22T00:00:00"/>
    <s v="ฌTB-25110053 พรหมนิพิฐ เหมือนรอดดี"/>
    <s v="รับ"/>
    <s v="RVEM6811-009"/>
    <x v="17"/>
    <m/>
    <n v="469900"/>
    <n v="-469900"/>
    <n v="-469900"/>
  </r>
  <r>
    <d v="2568-11-22T00:00:00"/>
    <s v="รับชำระหนี้จาก ศรีนคร จันทะปัญญา"/>
    <s v="รับ"/>
    <s v="RVEM6811-010"/>
    <x v="18"/>
    <m/>
    <n v="599900"/>
    <n v="-1069800"/>
    <n v="-599900"/>
  </r>
  <r>
    <d v="2568-11-22T00:00:00"/>
    <s v="บันทึกการขายรถ พรหมนิพิฐ เหมือนรอดดี"/>
    <s v="ขาย"/>
    <s v="SVVM6811-009"/>
    <x v="17"/>
    <n v="469900"/>
    <m/>
    <n v="-599900"/>
    <n v="469900"/>
  </r>
  <r>
    <d v="2568-11-22T00:00:00"/>
    <s v="บันทึกการขายรถ ศรีนคร จันทะปัญญา"/>
    <s v="ขาย"/>
    <s v="SVVM6811-010"/>
    <x v="18"/>
    <n v="599900"/>
    <m/>
    <n v="0"/>
    <n v="599900"/>
  </r>
  <r>
    <d v="2568-11-26T00:00:00"/>
    <s v="รับชำระหนี้จาก ชัชวาล ตระการประไพ"/>
    <s v="รับ"/>
    <s v="RVEM6811-011"/>
    <x v="19"/>
    <m/>
    <n v="2406.4299999999998"/>
    <n v="-2406.4299999999998"/>
    <n v="-2406.4299999999998"/>
  </r>
  <r>
    <d v="2568-11-26T00:00:00"/>
    <s v="รับชำระหนี้จาก ชัชวาล ตระการประไพ"/>
    <s v="รับ"/>
    <s v="RVEM6811-011"/>
    <x v="19"/>
    <m/>
    <n v="619900"/>
    <n v="-622306.43000000005"/>
    <n v="-619900"/>
  </r>
  <r>
    <d v="2568-11-26T00:00:00"/>
    <s v="รับชำระหนี้จาก ปรเมษฐ์ วรเลิศโกศล"/>
    <s v="รับ"/>
    <s v="RVEM6811-012"/>
    <x v="20"/>
    <m/>
    <n v="469900"/>
    <n v="-1092206.43"/>
    <n v="-469900"/>
  </r>
  <r>
    <d v="2568-11-26T00:00:00"/>
    <s v="รับชำระหนี้จาก ปรเมษฐ์ วรเลิศโกศล"/>
    <s v="รับ"/>
    <s v="RVEM6811-012"/>
    <x v="20"/>
    <m/>
    <n v="11087.97"/>
    <n v="-1103294.3999999999"/>
    <n v="-11087.97"/>
  </r>
  <r>
    <d v="2568-11-26T00:00:00"/>
    <s v="บันทึกการขายรถ ชัชวาล ตระการประไพ"/>
    <s v="ขาย"/>
    <s v="SVVM6811-011"/>
    <x v="19"/>
    <n v="619900"/>
    <m/>
    <n v="-483394.4"/>
    <n v="619900"/>
  </r>
  <r>
    <d v="2568-11-26T00:00:00"/>
    <s v="บันทึกการขายรถ ชัชวาล ตระการประไพ"/>
    <s v="ขาย"/>
    <s v="SVVM6811-011"/>
    <x v="19"/>
    <n v="2406.4299999999998"/>
    <m/>
    <n v="-480987.97"/>
    <n v="2406.4299999999998"/>
  </r>
  <r>
    <d v="2568-11-26T00:00:00"/>
    <s v="บันทึกการขายรถ ปรเมษฐ์ วรเลิศโกศล"/>
    <s v="ขาย"/>
    <s v="SVVM6811-012"/>
    <x v="20"/>
    <n v="469900"/>
    <m/>
    <n v="-11087.97"/>
    <n v="469900"/>
  </r>
  <r>
    <d v="2568-11-26T00:00:00"/>
    <s v="บันทึกการขายรถ ปรเมษฐ์ วรเลิศโกศล"/>
    <s v="ขาย"/>
    <s v="SVVM6811-012"/>
    <x v="20"/>
    <n v="11087.97"/>
    <m/>
    <n v="0"/>
    <n v="11087.97"/>
  </r>
  <r>
    <d v="2568-11-27T00:00:00"/>
    <s v="รับชำระหนี้จาก ปุณยนุช ธรรมศิริ"/>
    <s v="รับ"/>
    <s v="RVEM6811-013"/>
    <x v="21"/>
    <m/>
    <n v="899900"/>
    <n v="-899900"/>
    <n v="-899900"/>
  </r>
  <r>
    <d v="2568-11-27T00:00:00"/>
    <s v="รับชำระหนี้จาก การันต์ บริรักษ์สัมพันธ์"/>
    <s v="รับ"/>
    <s v="RVEM6811-014"/>
    <x v="22"/>
    <m/>
    <n v="769900"/>
    <n v="-1669800"/>
    <n v="-769900"/>
  </r>
  <r>
    <d v="2568-11-27T00:00:00"/>
    <s v="รับชำระหนี้จาก การันต์ บริรักษ์สัมพันธ์"/>
    <s v="รับ"/>
    <s v="RVEM6811-014"/>
    <x v="22"/>
    <m/>
    <n v="13651.17"/>
    <n v="-1683451.17"/>
    <n v="-13651.17"/>
  </r>
  <r>
    <d v="2568-11-27T00:00:00"/>
    <s v="รับชำระหนี้จาก ศุภกร เจนกุลเจริญ"/>
    <s v="รับ"/>
    <s v="RVEM6811-015"/>
    <x v="23"/>
    <m/>
    <n v="619900"/>
    <n v="-2303351.17"/>
    <n v="-619900"/>
  </r>
  <r>
    <d v="2568-11-27T00:00:00"/>
    <s v="บันทึกการขายรถ ปุณยนุช ธรรมศิริ"/>
    <s v="ขาย"/>
    <s v="SVVM6811-013"/>
    <x v="21"/>
    <n v="899900"/>
    <m/>
    <n v="-1403451.17"/>
    <n v="899900"/>
  </r>
  <r>
    <d v="2568-11-27T00:00:00"/>
    <s v="บันทึกการขายรถ การันต์ บริรักษ์สัมพันธ์"/>
    <s v="ขาย"/>
    <s v="SVVM6811-014"/>
    <x v="22"/>
    <n v="769900"/>
    <m/>
    <n v="-633551.17000000004"/>
    <n v="769900"/>
  </r>
  <r>
    <d v="2568-11-27T00:00:00"/>
    <s v="บันทึกการขายรถ การันต์ บริรักษ์สัมพันธ์"/>
    <s v="ขาย"/>
    <s v="SVVM6811-014"/>
    <x v="22"/>
    <n v="13651.17"/>
    <m/>
    <n v="-619900"/>
    <n v="13651.17"/>
  </r>
  <r>
    <d v="2568-11-27T00:00:00"/>
    <s v="บันทึกการขายรถ ศุภกร เจนกุลเจริญ"/>
    <s v="ขาย"/>
    <s v="SVVM6811-015"/>
    <x v="23"/>
    <n v="619900"/>
    <m/>
    <n v="0"/>
    <n v="619900"/>
  </r>
  <r>
    <d v="2568-11-28T00:00:00"/>
    <s v="รับชำระหนี้จาก นัยน์ปพร  จันดี"/>
    <s v="รับ"/>
    <s v="RVEM6811-016"/>
    <x v="24"/>
    <m/>
    <n v="469900"/>
    <n v="-469900"/>
    <n v="-469900"/>
  </r>
  <r>
    <d v="2568-11-28T00:00:00"/>
    <s v="รับชำระหนี้จาก นัยน์ปพร  จันดี"/>
    <s v="รับ"/>
    <s v="RVEM6811-016"/>
    <x v="24"/>
    <m/>
    <n v="7502.84"/>
    <n v="-477402.84"/>
    <n v="-7502.84"/>
  </r>
  <r>
    <d v="2568-11-28T00:00:00"/>
    <s v="บันทึกการขายรถ ณภัสญาณ์ เลิศวรรธน์กุล"/>
    <s v="ขาย"/>
    <s v="SVVM6811-016"/>
    <x v="25"/>
    <n v="469900"/>
    <m/>
    <n v="-7502.84"/>
    <n v="469900"/>
  </r>
  <r>
    <d v="2568-11-29T00:00:00"/>
    <s v="บันทึกการขายรถ สุดาทิพย์ ศรีสร้อย"/>
    <s v="ขาย"/>
    <s v="SVVM6811-017"/>
    <x v="26"/>
    <n v="599900"/>
    <m/>
    <n v="592397.16"/>
    <n v="599900"/>
  </r>
  <r>
    <d v="2568-11-29T00:00:00"/>
    <s v="บันทึกการขายรถ ธนกฤต ฤทธิ์ภักดีกุล"/>
    <s v="ขาย"/>
    <s v="SVVM6811-018"/>
    <x v="27"/>
    <n v="469900"/>
    <m/>
    <n v="1062297.1599999999"/>
    <n v="469900"/>
  </r>
  <r>
    <d v="2568-11-29T00:00:00"/>
    <s v="บันทึกการขายรถ จิตตาภา ขุนทอง"/>
    <s v="ขาย"/>
    <s v="SVVM6811-019"/>
    <x v="28"/>
    <n v="599900"/>
    <m/>
    <n v="1662197.16"/>
    <n v="599900"/>
  </r>
  <r>
    <d v="2568-12-01T00:00:00"/>
    <s v="รับชำระหนี้จาก ณภัสญาณ์ เลิศวรรธน์กุล"/>
    <s v="รับ"/>
    <s v="RVEM6812-001"/>
    <x v="25"/>
    <m/>
    <n v="469900"/>
    <n v="1192297.1599999999"/>
    <n v="-469900"/>
  </r>
  <r>
    <d v="2568-12-04T00:00:00"/>
    <s v="รับชำระหนี้จาก จิตตาภา ขุนทอง"/>
    <s v="รับ"/>
    <s v="RVEM6812-002"/>
    <x v="28"/>
    <m/>
    <n v="599900"/>
    <n v="592397.16"/>
    <n v="-599900"/>
  </r>
  <r>
    <d v="2568-12-04T00:00:00"/>
    <s v="รับชำระหนี้จาก จิตตาภา ขุนทอง"/>
    <s v="รับ"/>
    <s v="RVEM6812-002"/>
    <x v="28"/>
    <m/>
    <n v="2707.1"/>
    <n v="589690.06000000006"/>
    <n v="-2707.1"/>
  </r>
  <r>
    <d v="2568-12-06T00:00:00"/>
    <s v="รับชำระหนี้จาก ณัฎฐา ณ บางช้าง"/>
    <s v="รับ"/>
    <s v="RVEM6812-003"/>
    <x v="29"/>
    <m/>
    <n v="619900"/>
    <n v="-30209.94"/>
    <n v="-619900"/>
  </r>
  <r>
    <d v="2568-12-08T00:00:00"/>
    <s v="รับชำระหนี้จาก ธรรมธร เกตุแก้ว"/>
    <s v="รับ"/>
    <s v="RVEM6812-004"/>
    <x v="30"/>
    <m/>
    <n v="469900"/>
    <n v="-500109.94"/>
    <n v="-469900"/>
  </r>
  <r>
    <d v="2568-12-09T00:00:00"/>
    <s v="รับชำระหนี้จาก สุภาธินี อินทโสภา"/>
    <s v="รับ"/>
    <s v="RVEM6812-005"/>
    <x v="31"/>
    <m/>
    <n v="469900"/>
    <n v="-970009.94"/>
    <n v="-469900"/>
  </r>
  <r>
    <d v="2568-12-09T00:00:00"/>
    <s v="รับชำระหนี้จาก สุภาธินี อินทโสภา"/>
    <s v="รับ"/>
    <s v="RVEM6812-005"/>
    <x v="31"/>
    <m/>
    <n v="9309"/>
    <n v="-979318.94"/>
    <n v="-9309"/>
  </r>
  <r>
    <d v="2568-12-09T00:00:00"/>
    <s v="รับชำระหนี้จาก วิรุฬห์ มูซอ"/>
    <s v="รับ"/>
    <s v="RVEM6812-006"/>
    <x v="32"/>
    <m/>
    <n v="599900"/>
    <n v="-1579218.94"/>
    <n v="-599900"/>
  </r>
  <r>
    <d v="2568-12-09T00:00:00"/>
    <s v="รับชำระหนี้จาก วิรุฬห์ มูซอ"/>
    <s v="รับ"/>
    <s v="RVEM6812-006"/>
    <x v="32"/>
    <m/>
    <n v="13327.92"/>
    <n v="-1592546.86"/>
    <n v="-13327.92"/>
  </r>
  <r>
    <d v="2568-12-09T00:00:00"/>
    <s v="รับชำระหนี้จาก สุดนารี แซ่ลี้"/>
    <s v="รับ"/>
    <s v="RVEM6812-007"/>
    <x v="33"/>
    <m/>
    <n v="769900"/>
    <n v="-2362446.86"/>
    <n v="-769900"/>
  </r>
  <r>
    <d v="2568-12-09T00:00:00"/>
    <s v="รับชำระหนี้จาก สุดนารี แซ่ลี้"/>
    <s v="รับ"/>
    <s v="RVEM6812-007"/>
    <x v="33"/>
    <m/>
    <n v="3658.33"/>
    <n v="-2366105.19"/>
    <n v="-3658.33"/>
  </r>
  <r>
    <d v="2568-12-09T00:00:00"/>
    <s v="รับชำระหนี้จาก ธนกฤต ฤทธิ์ภักดีกุล"/>
    <s v="รับ"/>
    <s v="RVEM6812-008"/>
    <x v="27"/>
    <m/>
    <n v="469900"/>
    <n v="-2836005.19"/>
    <n v="-469900"/>
  </r>
  <r>
    <d v="2568-12-09T00:00:00"/>
    <s v="รับชำระหนี้จาก ธนกฤต ฤทธิ์ภักดีกุล"/>
    <s v="รับ"/>
    <s v="RVEM6812-008"/>
    <x v="27"/>
    <m/>
    <n v="10335.129999999999"/>
    <n v="-2846340.32"/>
    <n v="-10335.129999999999"/>
  </r>
  <r>
    <d v="2568-12-12T00:00:00"/>
    <s v="รับชำระหนี้จาก นาฏนภา เป้าปราณี"/>
    <s v="รับ"/>
    <s v="RVEM6812-009"/>
    <x v="34"/>
    <m/>
    <n v="899900"/>
    <n v="-3746240.32"/>
    <n v="-899900"/>
  </r>
  <r>
    <d v="2568-12-13T00:00:00"/>
    <s v="รับชำระหนี้จาก ณัฐพร แปงวัน"/>
    <s v="รับ"/>
    <s v="RVEM6812-010"/>
    <x v="35"/>
    <m/>
    <n v="619900"/>
    <n v="-4366140.32"/>
    <n v="-619900"/>
  </r>
  <r>
    <d v="2568-12-15T00:00:00"/>
    <s v="รับชำระหนี้จาก ศศินันท์ คิรินทร์รัตนะ"/>
    <s v="รับ"/>
    <s v="RVEM6812-011"/>
    <x v="36"/>
    <m/>
    <n v="599900"/>
    <n v="-4966040.32"/>
    <n v="-599900"/>
  </r>
  <r>
    <d v="2568-12-16T00:00:00"/>
    <s v="รับชำระหนี้จาก นพรัตน์ ศักดิ์ศิริ"/>
    <s v="รับ"/>
    <s v="RVEM6812-012"/>
    <x v="37"/>
    <m/>
    <n v="599900"/>
    <n v="-5565940.3200000003"/>
    <n v="-599900"/>
  </r>
  <r>
    <d v="2568-12-16T00:00:00"/>
    <s v="รับชำระหนี้จาก นพรัตน์ ศักดิ์ศิริ"/>
    <s v="รับ"/>
    <s v="RVEM6812-012"/>
    <x v="37"/>
    <m/>
    <n v="2406.4299999999998"/>
    <n v="-5568346.75"/>
    <n v="-2406.4299999999998"/>
  </r>
  <r>
    <d v="2568-12-16T00:00:00"/>
    <s v="รับชำระหนี้จาก กชกร วัชราไทย"/>
    <s v="รับ"/>
    <s v="RVEM6812-013"/>
    <x v="38"/>
    <m/>
    <n v="869900"/>
    <n v="-6438246.75"/>
    <n v="-869900"/>
  </r>
  <r>
    <d v="2568-12-16T00:00:00"/>
    <s v="รับชำระหนี้จาก ไอลดา ไชยศรี"/>
    <s v="รับ"/>
    <s v="RVEM6812-014"/>
    <x v="39"/>
    <m/>
    <n v="899900"/>
    <n v="-7338146.75"/>
    <n v="-899900"/>
  </r>
  <r>
    <d v="2568-12-16T00:00:00"/>
    <s v="รับชำระหนี้จาก ไอลดา ไชยศรี"/>
    <s v="รับ"/>
    <s v="RVEM6812-014"/>
    <x v="39"/>
    <m/>
    <n v="9478.06"/>
    <n v="-7347624.8099999996"/>
    <n v="-9478.06"/>
  </r>
  <r>
    <d v="2568-12-16T00:00:00"/>
    <s v="รับชำระหนี้จาก ธีรวุฒิ นิลเหลือง"/>
    <s v="รับ"/>
    <s v="RVEM6812-015"/>
    <x v="40"/>
    <m/>
    <n v="769900"/>
    <n v="-8117524.8099999996"/>
    <n v="-769900"/>
  </r>
  <r>
    <d v="2568-12-16T00:00:00"/>
    <s v="รับชำระหนี้จาก ธีรวุฒิ นิลเหลือง"/>
    <s v="รับ"/>
    <s v="RVEM6812-015"/>
    <x v="40"/>
    <m/>
    <n v="14272.52"/>
    <n v="-8131797.3300000001"/>
    <n v="-14272.52"/>
  </r>
  <r>
    <d v="2568-12-17T00:00:00"/>
    <s v="รับชำระหนี้จาก สิริรัตน์  ตรงต่อศักดิ์"/>
    <s v="รับ"/>
    <s v="RVEM6812-016"/>
    <x v="41"/>
    <m/>
    <n v="896900"/>
    <n v="-9028697.3300000001"/>
    <n v="-896900"/>
  </r>
  <r>
    <d v="2568-12-17T00:00:00"/>
    <s v="รับชำระหนี้จาก สุดาทิพย์ ศรีสร้อย"/>
    <s v="รับ"/>
    <s v="RVEM6812-017"/>
    <x v="26"/>
    <m/>
    <n v="9470.57"/>
    <n v="-9038167.9000000004"/>
    <n v="-9470.57"/>
  </r>
  <r>
    <d v="2568-12-17T00:00:00"/>
    <s v="รับชำระหนี้จาก สุดาทิพย์ ศรีสร้อย"/>
    <s v="รับ"/>
    <s v="RVEM6812-017"/>
    <x v="26"/>
    <m/>
    <n v="599900"/>
    <n v="-9638067.9000000004"/>
    <n v="-599900"/>
  </r>
  <r>
    <d v="2568-12-18T00:00:00"/>
    <s v="รับชำระหนี้จาก นิวัฒน์ จีรวงศ์สุนทร"/>
    <s v="รับ"/>
    <s v="RVEM6812-018"/>
    <x v="42"/>
    <m/>
    <n v="589900"/>
    <n v="-10227967.9"/>
    <n v="-589900"/>
  </r>
  <r>
    <d v="2568-12-18T00:00:00"/>
    <s v="รับชำระหนี้จาก ยลดา อาหรับ"/>
    <s v="รับ"/>
    <s v="RVEM6812-019"/>
    <x v="43"/>
    <m/>
    <n v="899900"/>
    <n v="-11127867.9"/>
    <n v="-899900"/>
  </r>
  <r>
    <d v="2568-12-18T00:00:00"/>
    <s v="รับชำระหนี้จาก ยลดา อาหรับ"/>
    <s v="รับ"/>
    <s v="RVEM6812-019"/>
    <x v="43"/>
    <m/>
    <n v="17909.66"/>
    <n v="-11145777.560000001"/>
    <n v="-17909.66"/>
  </r>
  <r>
    <d v="2568-12-19T00:00:00"/>
    <s v="รับชำระหนี้จาก กัญญา อินทะมา"/>
    <s v="รับ"/>
    <s v="RVEM6812-020"/>
    <x v="44"/>
    <m/>
    <n v="866900"/>
    <n v="-12012677.560000001"/>
    <n v="-866900"/>
  </r>
  <r>
    <d v="2568-12-19T00:00:00"/>
    <s v="รับชำระหนี้จาก นวกชมณ บุญรอดรักษุ์"/>
    <s v="รับ"/>
    <s v="RVEM6812-021"/>
    <x v="45"/>
    <m/>
    <n v="616900"/>
    <n v="-12629577.560000001"/>
    <n v="-616900"/>
  </r>
  <r>
    <d v="2568-12-19T00:00:00"/>
    <s v="รับชำระหนี้จาก อัครวัฒน์ เดชานันท์เสถียร"/>
    <s v="รับ"/>
    <s v="RVEM6812-022"/>
    <x v="46"/>
    <m/>
    <n v="619900"/>
    <n v="-13249477.560000001"/>
    <n v="-619900"/>
  </r>
  <r>
    <d v="2568-12-19T00:00:00"/>
    <s v="รับชำระหนี้จาก อัครวัฒน์ เดชานันท์เสถียร"/>
    <s v="รับ"/>
    <s v="RVEM6812-022"/>
    <x v="46"/>
    <m/>
    <n v="2406.4299999999998"/>
    <n v="-13251883.99"/>
    <n v="-2406.4299999999998"/>
  </r>
  <r>
    <d v="2568-12-19T00:00:00"/>
    <s v="รับชำระหนี้จาก ชุติมา บุญสูง"/>
    <s v="รับ"/>
    <s v="RVEM6812-023"/>
    <x v="47"/>
    <m/>
    <n v="599900"/>
    <n v="-13851783.99"/>
    <n v="-599900"/>
  </r>
  <r>
    <d v="2568-12-19T00:00:00"/>
    <s v="รับชำระหนี้จาก ชุติมา บุญสูง"/>
    <s v="รับ"/>
    <s v="RVEM6812-023"/>
    <x v="47"/>
    <m/>
    <n v="8395.2199999999993"/>
    <n v="-13860179.210000001"/>
    <n v="-8395.2199999999993"/>
  </r>
  <r>
    <d v="2568-12-19T00:00:00"/>
    <s v="รับชำระหนี้จาก อินทิรา เฉลิมวงศ์"/>
    <s v="รับ"/>
    <s v="RVEM6812-024"/>
    <x v="48"/>
    <m/>
    <n v="619900"/>
    <n v="-14480079.210000001"/>
    <n v="-619900"/>
  </r>
  <r>
    <d v="2568-12-19T00:00:00"/>
    <s v="รับชำระหนี้จาก อินทิรา เฉลิมวงศ์"/>
    <s v="รับ"/>
    <s v="RVEM6812-024"/>
    <x v="48"/>
    <m/>
    <n v="10845.52"/>
    <n v="-14490924.73"/>
    <n v="-10845.52"/>
  </r>
  <r>
    <d v="2568-12-19T00:00:00"/>
    <s v="รับชำระหนี้จาก ศุภกานต์ หลำนุ้ย"/>
    <s v="รับ"/>
    <s v="RVEM6812-025"/>
    <x v="49"/>
    <m/>
    <n v="469900"/>
    <n v="-14960824.73"/>
    <n v="-469900"/>
  </r>
  <r>
    <d v="2568-12-19T00:00:00"/>
    <s v="รับชำระหนี้จาก ศุภกานต์ หลำนุ้ย"/>
    <s v="รับ"/>
    <s v="RVEM6812-025"/>
    <x v="49"/>
    <m/>
    <n v="9199.66"/>
    <n v="-14970024.390000001"/>
    <n v="-9199.66"/>
  </r>
  <r>
    <d v="2568-12-20T00:00:00"/>
    <s v="รับชำระหนี้จาก พิทยารัตน์ มูลจันดา"/>
    <s v="รับ"/>
    <s v="RVEM6812-026"/>
    <x v="50"/>
    <m/>
    <n v="599900"/>
    <n v="-15569924.390000001"/>
    <n v="-599900"/>
  </r>
  <r>
    <d v="2568-12-22T00:00:00"/>
    <s v="รับชำระหนี้จาก ภควัต ส่งคุณฤทธิการ"/>
    <s v="รับ"/>
    <s v="RVEM6812-027"/>
    <x v="51"/>
    <m/>
    <n v="614900"/>
    <n v="-16184824.390000001"/>
    <n v="-614900"/>
  </r>
  <r>
    <d v="2568-12-22T00:00:00"/>
    <s v="รับชำระหนี้จาก จิราภา โหมดวิจิตร"/>
    <s v="รับ"/>
    <s v="RVEM6812-028"/>
    <x v="52"/>
    <m/>
    <n v="599900"/>
    <n v="-16784724.390000001"/>
    <n v="-599900"/>
  </r>
  <r>
    <d v="2568-12-22T00:00:00"/>
    <s v="รับชำระหนี้จาก มฑป โรจนวิสุทธิ์"/>
    <s v="รับ"/>
    <s v="RVEM6812-029"/>
    <x v="53"/>
    <m/>
    <n v="899900"/>
    <n v="-17684624.390000001"/>
    <n v="-899900"/>
  </r>
  <r>
    <d v="2568-12-22T00:00:00"/>
    <s v="รับชำระหนี้จาก มฑป โรจนวิสุทธิ์"/>
    <s v="รับ"/>
    <s v="RVEM6812-029"/>
    <x v="53"/>
    <m/>
    <n v="2865.14"/>
    <n v="-17687489.530000001"/>
    <n v="-2865.14"/>
  </r>
  <r>
    <d v="2568-12-22T00:00:00"/>
    <s v="รับชำระหนี้จาก นิรัตน์ สุวรรณวิชัย"/>
    <s v="รับ"/>
    <s v="RVEM6812-030"/>
    <x v="54"/>
    <m/>
    <n v="769900"/>
    <n v="-18457389.530000001"/>
    <n v="-769900"/>
  </r>
  <r>
    <d v="2568-12-22T00:00:00"/>
    <s v="รับชำระหนี้จาก นิรัตน์ สุวรรณวิชัย"/>
    <s v="รับ"/>
    <s v="RVEM6812-030"/>
    <x v="54"/>
    <m/>
    <n v="13785.88"/>
    <n v="-18471175.41"/>
    <n v="-13785.88"/>
  </r>
  <r>
    <d v="2568-12-22T00:00:00"/>
    <s v="รับชำระหนี้จาก ปรเมศวร์ เอี่ยมเต็ง"/>
    <s v="รับ"/>
    <s v="RVEM6812-031"/>
    <x v="55"/>
    <m/>
    <n v="899900"/>
    <n v="-19371075.41"/>
    <n v="-899900"/>
  </r>
  <r>
    <d v="2568-12-22T00:00:00"/>
    <s v="รับชำระหนี้จาก ปรเมศวร์ เอี่ยมเต็ง"/>
    <s v="รับ"/>
    <s v="RVEM6812-031"/>
    <x v="55"/>
    <m/>
    <n v="23105.58"/>
    <n v="-19394180.989999998"/>
    <n v="-23105.58"/>
  </r>
  <r>
    <d v="2568-12-22T00:00:00"/>
    <s v="รับชำระหนี้จาก กษิรา บุญอินทร์"/>
    <s v="รับ"/>
    <s v="RVEM6812-032"/>
    <x v="56"/>
    <m/>
    <n v="469900"/>
    <n v="-19864080.989999998"/>
    <n v="-469900"/>
  </r>
  <r>
    <d v="2568-12-22T00:00:00"/>
    <s v="รับชำระหนี้จาก กษิรา บุญอินทร์"/>
    <s v="รับ"/>
    <s v="RVEM6812-032"/>
    <x v="56"/>
    <m/>
    <n v="9557.24"/>
    <n v="-19873638.23"/>
    <n v="-9557.24"/>
  </r>
  <r>
    <d v="2568-12-23T00:00:00"/>
    <s v="รับชำระหนี้จาก สมปรารถนา คล้ายวิเชียร"/>
    <s v="รับ"/>
    <s v="RVEM6812-033"/>
    <x v="57"/>
    <m/>
    <n v="674900"/>
    <n v="-20548538.23"/>
    <n v="-674900"/>
  </r>
  <r>
    <d v="2568-12-23T00:00:00"/>
    <s v="รับชำระหนี้จาก บุษกร แป้นขาว"/>
    <s v="รับ"/>
    <s v="RVEM6812-034"/>
    <x v="58"/>
    <m/>
    <n v="899900"/>
    <n v="-21448438.23"/>
    <n v="-899900"/>
  </r>
  <r>
    <d v="2568-12-23T00:00:00"/>
    <s v="รับชำระหนี้จาก บุษกร แป้นขาว"/>
    <s v="รับ"/>
    <s v="RVEM6812-034"/>
    <x v="58"/>
    <m/>
    <n v="11226.88"/>
    <n v="-21459665.109999999"/>
    <n v="-11226.88"/>
  </r>
  <r>
    <d v="2568-12-23T00:00:00"/>
    <s v="รับชำระหนี้จาก สมประสงค์ เชิดชู"/>
    <s v="รับ"/>
    <s v="RVEM6812-035"/>
    <x v="59"/>
    <m/>
    <n v="829900"/>
    <n v="-22289565.109999999"/>
    <n v="-829900"/>
  </r>
  <r>
    <d v="2568-12-23T00:00:00"/>
    <s v="รับชำระหนี้จาก สมประสงค์ เชิดชู"/>
    <s v="รับ"/>
    <s v="RVEM6812-035"/>
    <x v="59"/>
    <m/>
    <n v="14360.47"/>
    <n v="-22303925.579999998"/>
    <n v="-14360.47"/>
  </r>
  <r>
    <d v="2568-12-24T00:00:00"/>
    <s v="รับชำระหนี้จาก ปาณิศรา ธนะชัยธิรดา"/>
    <s v="รับ"/>
    <s v="RVEM6812-036"/>
    <x v="60"/>
    <m/>
    <n v="469900"/>
    <n v="-22773825.579999998"/>
    <n v="-469900"/>
  </r>
  <r>
    <d v="2568-12-24T00:00:00"/>
    <s v="รับชำระหนี้จาก ปาณิศรา ธนะชัยธิรดา"/>
    <s v="รับ"/>
    <s v="RVEM6812-036"/>
    <x v="60"/>
    <m/>
    <n v="7977.36"/>
    <n v="-22781802.940000001"/>
    <n v="-7977.36"/>
  </r>
  <r>
    <d v="2568-12-24T00:00:00"/>
    <s v="รับชำระหนี้จาก อาทิตยา ภัทรบุญภักดิ์"/>
    <s v="รับ"/>
    <s v="RVEM6812-037"/>
    <x v="61"/>
    <m/>
    <n v="899900"/>
    <n v="-23681702.940000001"/>
    <n v="-899900"/>
  </r>
  <r>
    <d v="2568-12-24T00:00:00"/>
    <s v="รับชำระหนี้จาก อาทิตยา ภัทรบุญภักดิ์"/>
    <s v="รับ"/>
    <s v="RVEM6812-037"/>
    <x v="61"/>
    <m/>
    <n v="12844.28"/>
    <n v="-23694547.219999999"/>
    <n v="-12844.28"/>
  </r>
  <r>
    <d v="2568-12-24T00:00:00"/>
    <s v="รับชำระหนี้จาก รุ่งธรรม เหลืองรุ่งวสันต์"/>
    <s v="รับ"/>
    <s v="RVEM6812-038"/>
    <x v="62"/>
    <m/>
    <n v="619900"/>
    <n v="-24314447.219999999"/>
    <n v="-619900"/>
  </r>
  <r>
    <d v="2568-12-24T00:00:00"/>
    <s v="รับชำระหนี้จาก รุ่งธรรม เหลืองรุ่งวสันต์"/>
    <s v="รับ"/>
    <s v="RVEM6812-038"/>
    <x v="62"/>
    <m/>
    <n v="10845.52"/>
    <n v="-24325292.739999998"/>
    <n v="-10845.52"/>
  </r>
  <r>
    <d v="2568-12-26T00:00:00"/>
    <s v="รับชำระหนี้จาก สุกัลย์ เหลืองพรนุวัฒน์"/>
    <s v="รับ"/>
    <s v="RVEM6812-039"/>
    <x v="63"/>
    <m/>
    <n v="769900"/>
    <n v="-25095192.739999998"/>
    <n v="-769900"/>
  </r>
  <r>
    <d v="2568-12-26T00:00:00"/>
    <s v="รับชำระหนี้จาก สุกัลย์ เหลืองพรนุวัฒน์"/>
    <s v="รับ"/>
    <s v="RVEM6812-039"/>
    <x v="63"/>
    <m/>
    <n v="3473.79"/>
    <n v="-25098666.530000001"/>
    <n v="-3473.79"/>
  </r>
  <r>
    <d v="2568-12-26T00:00:00"/>
    <s v="รับชำระหนี้จาก อนาคิน ธนรุ่งปัญญาสิทธิ์"/>
    <s v="รับ"/>
    <s v="RVEM6812-040"/>
    <x v="64"/>
    <m/>
    <n v="599900"/>
    <n v="-25698566.530000001"/>
    <n v="-599900"/>
  </r>
  <r>
    <d v="2568-12-26T00:00:00"/>
    <s v="รับชำระหนี้จาก อนาคิน ธนรุ่งปัญญาสิทธิ์"/>
    <s v="รับ"/>
    <s v="RVEM6812-040"/>
    <x v="64"/>
    <m/>
    <n v="8257.19"/>
    <n v="-25706823.719999999"/>
    <n v="-8257.19"/>
  </r>
  <r>
    <d v="2568-12-27T00:00:00"/>
    <s v="รับชำระหนี้จาก พงษ์ชัย เตียวรัตนกุล"/>
    <s v="รับ"/>
    <s v="RVEM6812-041"/>
    <x v="65"/>
    <m/>
    <n v="899900"/>
    <n v="-26606723.719999999"/>
    <n v="-899900"/>
  </r>
  <r>
    <d v="2568-12-27T00:00:00"/>
    <s v="รับชำระหนี้จาก ทรงวุฒิ พรมโท"/>
    <s v="รับ"/>
    <s v="RVEM6812-042"/>
    <x v="66"/>
    <m/>
    <n v="1249000"/>
    <n v="-27855723.719999999"/>
    <n v="-1249000"/>
  </r>
  <r>
    <d v="2568-12-29T00:00:00"/>
    <s v="รับชำระหนี้จาก ศศมน พุทธสอน"/>
    <s v="รับ"/>
    <s v="RVEM6812-043"/>
    <x v="67"/>
    <m/>
    <n v="599900"/>
    <n v="-28455623.719999999"/>
    <n v="-599900"/>
  </r>
  <r>
    <d v="2568-12-29T00:00:00"/>
    <s v="รับชำระหนี้จาก ศศมน พุทธสอน"/>
    <s v="รับ"/>
    <s v="RVEM6812-043"/>
    <x v="67"/>
    <m/>
    <n v="2526.27"/>
    <n v="-28458149.989999998"/>
    <n v="-2526.27"/>
  </r>
  <r>
    <d v="2568-12-29T00:00:00"/>
    <s v="รับชำระหนี้จาก ธัญวลัย ต่างประภา"/>
    <s v="รับ"/>
    <s v="RVEM6812-044"/>
    <x v="68"/>
    <m/>
    <n v="619900"/>
    <n v="-29078049.989999998"/>
    <n v="-619900"/>
  </r>
  <r>
    <d v="2568-12-29T00:00:00"/>
    <s v="รับชำระหนี้จาก ธัญวลัย ต่างประภา"/>
    <s v="รับ"/>
    <s v="RVEM6812-044"/>
    <x v="68"/>
    <m/>
    <n v="2553.02"/>
    <n v="-29080603.010000002"/>
    <n v="-2553.02"/>
  </r>
  <r>
    <d v="2568-12-29T00:00:00"/>
    <s v="รับชำระหนี้จาก ธนนดา พันธุ์ธนวิบูลย์"/>
    <s v="รับ"/>
    <s v="RVEM6812-045"/>
    <x v="69"/>
    <m/>
    <n v="899900"/>
    <n v="-29980503.010000002"/>
    <n v="-899900"/>
  </r>
  <r>
    <d v="2568-12-29T00:00:00"/>
    <s v="รับชำระหนี้จาก ธนนดา พันธุ์ธนวิบูลย์"/>
    <s v="รับ"/>
    <s v="RVEM6812-045"/>
    <x v="69"/>
    <m/>
    <n v="21938.21"/>
    <n v="-30002441.219999999"/>
    <n v="-21938.21"/>
  </r>
  <r>
    <d v="2568-12-29T00:00:00"/>
    <s v="รับชำระหนี้จาก วันชัย อนุชาด"/>
    <s v="รับ"/>
    <s v="RVEM6812-046"/>
    <x v="70"/>
    <m/>
    <n v="899900"/>
    <n v="-30902341.219999999"/>
    <n v="-899900"/>
  </r>
  <r>
    <d v="2568-12-29T00:00:00"/>
    <s v="รับชำระหนี้จาก วันชัย อนุชาด"/>
    <s v="รับ"/>
    <s v="RVEM6812-046"/>
    <x v="70"/>
    <m/>
    <n v="14787.34"/>
    <n v="-30917128.559999999"/>
    <n v="-14787.34"/>
  </r>
  <r>
    <d v="2568-12-29T00:00:00"/>
    <s v="รับชำระหนี้จาก ณัฐวุฒิ ทาตุ๊"/>
    <s v="รับ"/>
    <s v="RVEM6812-047"/>
    <x v="71"/>
    <m/>
    <n v="769900"/>
    <n v="-31687028.559999999"/>
    <n v="-769900"/>
  </r>
  <r>
    <d v="2568-12-29T00:00:00"/>
    <s v="รับชำระหนี้จาก ณัฐวุฒิ ทาตุ๊"/>
    <s v="รับ"/>
    <s v="RVEM6812-047"/>
    <x v="71"/>
    <m/>
    <n v="12120.94"/>
    <n v="-31699149.5"/>
    <n v="-12120.94"/>
  </r>
  <r>
    <d v="2568-12-30T00:00:00"/>
    <s v="รับชำระหนี้จาก จันทร สังข์สุวรรณ"/>
    <s v="รับ"/>
    <s v="RVEM6812-048"/>
    <x v="72"/>
    <m/>
    <n v="769900"/>
    <n v="-32469049.5"/>
    <n v="-769900"/>
  </r>
  <r>
    <d v="2568-12-30T00:00:00"/>
    <s v="รับชำระหนี้จาก จันทร สังข์สุวรรณ"/>
    <s v="รับ"/>
    <s v="RVEM6812-048"/>
    <x v="72"/>
    <m/>
    <n v="2933.57"/>
    <n v="-32471983.07"/>
    <n v="-2933.57"/>
  </r>
  <r>
    <d v="2568-12-30T00:00:00"/>
    <s v="รับชำระหนี้จาก ชุมาพร นนท์ปฏิมากุล"/>
    <s v="รับ"/>
    <s v="RVEM6812-049"/>
    <x v="73"/>
    <m/>
    <n v="619900"/>
    <n v="-33091883.07"/>
    <n v="-619900"/>
  </r>
  <r>
    <d v="2568-12-30T00:00:00"/>
    <s v="รับชำระหนี้จาก ชุมาพร นนท์ปฏิมากุล"/>
    <s v="รับ"/>
    <s v="RVEM6812-049"/>
    <x v="73"/>
    <m/>
    <n v="9539.2000000000007"/>
    <n v="-33101422.27"/>
    <n v="-9539.2000000000007"/>
  </r>
  <r>
    <d v="2568-12-30T00:00:00"/>
    <s v="รับชำระหนี้จาก จริยา พิมละมาด"/>
    <s v="รับ"/>
    <s v="RVEM6812-050"/>
    <x v="74"/>
    <m/>
    <n v="769900"/>
    <n v="-33871322.270000003"/>
    <n v="-769900"/>
  </r>
  <r>
    <d v="2568-12-30T00:00:00"/>
    <s v="รับชำระหนี้จาก จริยา พิมละมาด"/>
    <s v="รับ"/>
    <s v="RVEM6812-050"/>
    <x v="74"/>
    <m/>
    <n v="13666.97"/>
    <n v="-33884989.240000002"/>
    <n v="-13666.97"/>
  </r>
  <r>
    <d v="2568-12-30T00:00:00"/>
    <s v="รับชำระหนี้จาก นันท์นภัส สาโรวาท"/>
    <s v="รับ"/>
    <s v="RVEM6812-051"/>
    <x v="75"/>
    <m/>
    <n v="699900"/>
    <n v="-34584889.240000002"/>
    <n v="-699900"/>
  </r>
  <r>
    <d v="2568-12-30T00:00:00"/>
    <s v="รับชำระหนี้จาก นันท์นภัส สาโรวาท"/>
    <s v="รับ"/>
    <s v="RVEM6812-051"/>
    <x v="75"/>
    <m/>
    <n v="13235.9"/>
    <n v="-34598125.140000001"/>
    <n v="-13235.9"/>
  </r>
  <r>
    <d v="2568-12-30T00:00:00"/>
    <s v="รับชำระหนี้จาก คมกฤษณ์ วังตระกูล"/>
    <s v="รับ"/>
    <s v="RVEM6812-052"/>
    <x v="76"/>
    <m/>
    <n v="619900"/>
    <n v="-35218025.140000001"/>
    <n v="-619900"/>
  </r>
  <r>
    <d v="2568-12-30T00:00:00"/>
    <s v="รับชำระหนี้จาก คมกฤษณ์ วังตระกูล"/>
    <s v="รับ"/>
    <s v="RVEM6812-052"/>
    <x v="76"/>
    <m/>
    <n v="2945.71"/>
    <n v="-35220970.850000001"/>
    <n v="-2945.71"/>
  </r>
  <r>
    <d v="2568-12-30T00:00:00"/>
    <s v="รับชำระหนี้จาก ภาคิณ ประเสริฐจิต"/>
    <s v="รับ"/>
    <s v="RVEM6812-053"/>
    <x v="77"/>
    <m/>
    <n v="1249000"/>
    <n v="-36469970.850000001"/>
    <n v="-1249000"/>
  </r>
  <r>
    <d v="2568-12-30T00:00:00"/>
    <s v="รับชำระหนี้จาก ภาคิณ ประเสริฐจิต"/>
    <s v="รับ"/>
    <s v="RVEM6812-053"/>
    <x v="77"/>
    <m/>
    <n v="18371.900000000001"/>
    <n v="-36488342.75"/>
    <n v="-18371.900000000001"/>
  </r>
  <r>
    <d v="2568-12-30T00:00:00"/>
    <s v="ฌTR-25120051 ณัฐพงษ์ กองชัยมงคล"/>
    <s v="รับ"/>
    <s v="RVEM6812-057"/>
    <x v="78"/>
    <m/>
    <n v="13000"/>
    <n v="-36501342.75"/>
    <n v="-13000"/>
  </r>
  <r>
    <d v="2568-12-30T00:00:00"/>
    <s v="ฌTB-25120175 ณัฐพงษ์ กองชัยมงคล"/>
    <s v="รับ"/>
    <s v="RVEM6812-057"/>
    <x v="78"/>
    <m/>
    <n v="121985"/>
    <n v="-36623327.75"/>
    <n v="-121985"/>
  </r>
  <r>
    <d v="2568-12-30T00:00:00"/>
    <s v="ฌTB-25120310 สุรจิต เมธีวิทยา"/>
    <s v="รับ"/>
    <s v="RVVM6812-028"/>
    <x v="79"/>
    <m/>
    <n v="83340"/>
    <n v="-36706667.75"/>
    <n v="-83340"/>
  </r>
  <r>
    <d v="2568-12-30T00:00:00"/>
    <s v="ฌTB-25120065 นารีรัตน์ คำภิระปาวงศ์"/>
    <s v="รับ"/>
    <s v="RVVM6812-028"/>
    <x v="80"/>
    <m/>
    <n v="187861"/>
    <n v="-36894528.75"/>
    <n v="-187861"/>
  </r>
  <r>
    <d v="2568-12-30T00:00:00"/>
    <s v="ฌTB-25120253 รินทร์ลภัส ปิจดี"/>
    <s v="รับ"/>
    <s v="RVVM6812-028"/>
    <x v="81"/>
    <m/>
    <n v="3980"/>
    <n v="-36898508.75"/>
    <n v="-3980"/>
  </r>
  <r>
    <d v="2568-12-30T00:00:00"/>
    <s v="ฌTB-25120292 ธีระพงษ์ ตันสิทธิพันธ์"/>
    <s v="รับ"/>
    <s v="RVVM6812-028"/>
    <x v="82"/>
    <m/>
    <n v="185970"/>
    <n v="-37084478.75"/>
    <n v="-185970"/>
  </r>
  <r>
    <d v="2568-12-30T00:00:00"/>
    <s v="ฌTB-25120306 จิดาภา อริยพฤกษ์"/>
    <s v="รับ"/>
    <s v="RVVM6812-028"/>
    <x v="83"/>
    <m/>
    <n v="449950"/>
    <n v="-37534428.75"/>
    <n v="-449950"/>
  </r>
  <r>
    <d v="2568-12-30T00:00:00"/>
    <s v="คุณ กษิรา  บุญอินทร์"/>
    <s v="ขาย"/>
    <s v="SVVM6812-001"/>
    <x v="84"/>
    <n v="469900"/>
    <m/>
    <n v="-37064528.75"/>
    <n v="469900"/>
  </r>
  <r>
    <d v="2568-12-30T00:00:00"/>
    <s v="คุณ ศุภกานต์  หลำนุ้ย"/>
    <s v="ขาย"/>
    <s v="SVVM6812-001"/>
    <x v="85"/>
    <n v="469900"/>
    <m/>
    <n v="-36594628.75"/>
    <n v="469900"/>
  </r>
  <r>
    <d v="2568-12-30T00:00:00"/>
    <s v="คุณ ปาณิศรา  ธนะชัยธิรดา"/>
    <s v="ขาย"/>
    <s v="SVVM6812-001"/>
    <x v="86"/>
    <n v="469900"/>
    <m/>
    <n v="-36124728.75"/>
    <n v="469900"/>
  </r>
  <r>
    <d v="2568-12-30T00:00:00"/>
    <s v="คุณ นัยน์ปพร  จันดี"/>
    <s v="ขาย"/>
    <s v="SVVM6812-001"/>
    <x v="24"/>
    <n v="469900"/>
    <m/>
    <n v="-35654828.75"/>
    <n v="469900"/>
  </r>
  <r>
    <d v="2568-12-30T00:00:00"/>
    <s v="คุณ สุภาธินี  อินทโสภา"/>
    <s v="ขาย"/>
    <s v="SVVM6812-001"/>
    <x v="87"/>
    <n v="469900"/>
    <m/>
    <n v="-35184928.75"/>
    <n v="469900"/>
  </r>
  <r>
    <d v="2568-12-30T00:00:00"/>
    <s v="คุณธรรมธร  เกตุแก้ว"/>
    <s v="ขาย"/>
    <s v="SVVM6812-001"/>
    <x v="88"/>
    <n v="469900"/>
    <m/>
    <n v="-34715028.75"/>
    <n v="469900"/>
  </r>
  <r>
    <d v="2568-12-30T00:00:00"/>
    <s v="คุณ วิรุฬห์  มูซอ"/>
    <s v="ขาย"/>
    <s v="SVVM6812-001"/>
    <x v="89"/>
    <n v="599900"/>
    <m/>
    <n v="-34115128.75"/>
    <n v="599900"/>
  </r>
  <r>
    <d v="2568-12-30T00:00:00"/>
    <s v="คุณ นพรัตน์  ศักดิ์ศิริ"/>
    <s v="ขาย"/>
    <s v="SVVM6812-001"/>
    <x v="90"/>
    <n v="599900"/>
    <m/>
    <n v="-33515228.75"/>
    <n v="599900"/>
  </r>
  <r>
    <d v="2568-12-30T00:00:00"/>
    <s v="คุณ ชุติมา  บุญสูง"/>
    <s v="ขาย"/>
    <s v="SVVM6812-001"/>
    <x v="91"/>
    <n v="599900"/>
    <m/>
    <n v="-32915328.75"/>
    <n v="599900"/>
  </r>
  <r>
    <d v="2568-12-30T00:00:00"/>
    <s v="คุณ ศศมน  พุทธสอน"/>
    <s v="ขาย"/>
    <s v="SVVM6812-001"/>
    <x v="92"/>
    <n v="599900"/>
    <m/>
    <n v="-32315428.75"/>
    <n v="599900"/>
  </r>
  <r>
    <d v="2568-12-30T00:00:00"/>
    <s v="คุณ อนาคิน  ธนรุ่งปัญญาสิทธิ์"/>
    <s v="ขาย"/>
    <s v="SVVM6812-001"/>
    <x v="93"/>
    <n v="599900"/>
    <m/>
    <n v="-31715528.75"/>
    <n v="599900"/>
  </r>
  <r>
    <d v="2568-12-30T00:00:00"/>
    <s v="คุณ นารีรัตน์  คำภิระปาวงศ์"/>
    <s v="ขาย"/>
    <s v="SVVM6812-001"/>
    <x v="94"/>
    <n v="599900"/>
    <m/>
    <n v="-31115628.75"/>
    <n v="599900"/>
  </r>
  <r>
    <d v="2568-12-30T00:00:00"/>
    <s v="คุณพิทยารัตน์  มูลจันดา"/>
    <s v="ขาย"/>
    <s v="SVVM6812-001"/>
    <x v="95"/>
    <n v="599900"/>
    <m/>
    <n v="-30515728.75"/>
    <n v="599900"/>
  </r>
  <r>
    <d v="2568-12-30T00:00:00"/>
    <s v="คุณจิราภา  โหมดวิจิตร"/>
    <s v="ขาย"/>
    <s v="SVVM6812-001"/>
    <x v="96"/>
    <n v="599900"/>
    <m/>
    <n v="-29915828.75"/>
    <n v="599900"/>
  </r>
  <r>
    <d v="2568-12-30T00:00:00"/>
    <s v="คุณศศินันท์  คิรินทร์รัตนะ"/>
    <s v="ขาย"/>
    <s v="SVVM6812-001"/>
    <x v="97"/>
    <n v="599900"/>
    <m/>
    <n v="-29315928.75"/>
    <n v="599900"/>
  </r>
  <r>
    <d v="2568-12-30T00:00:00"/>
    <s v="คุณ จิดาภา  อริยพฤกษ์"/>
    <s v="ขาย"/>
    <s v="SVVM6812-002"/>
    <x v="98"/>
    <n v="899900"/>
    <m/>
    <n v="-28416028.75"/>
    <n v="899900"/>
  </r>
  <r>
    <d v="2568-12-30T00:00:00"/>
    <s v="คุณ ไอลดา  ไชยศรี"/>
    <s v="ขาย"/>
    <s v="SVVM6812-002"/>
    <x v="99"/>
    <n v="899900"/>
    <m/>
    <n v="-27516128.75"/>
    <n v="899900"/>
  </r>
  <r>
    <d v="2568-12-30T00:00:00"/>
    <s v="คุณ ยลดา   อาหรับ"/>
    <s v="ขาย"/>
    <s v="SVVM6812-002"/>
    <x v="100"/>
    <n v="899900"/>
    <m/>
    <n v="-26616228.75"/>
    <n v="899900"/>
  </r>
  <r>
    <d v="2568-12-30T00:00:00"/>
    <s v="คุณ ปรเมศวร์  เอี่ยมเต็ง"/>
    <s v="ขาย"/>
    <s v="SVVM6812-002"/>
    <x v="101"/>
    <n v="899900"/>
    <m/>
    <n v="-25716328.75"/>
    <n v="899900"/>
  </r>
  <r>
    <d v="2568-12-30T00:00:00"/>
    <s v="คุณ อาทิตยา  ภัทรบุญภักดิ์"/>
    <s v="ขาย"/>
    <s v="SVVM6812-002"/>
    <x v="102"/>
    <n v="899900"/>
    <m/>
    <n v="-24816428.75"/>
    <n v="899900"/>
  </r>
  <r>
    <d v="2568-12-30T00:00:00"/>
    <s v="คุณ มณฑป  โรจนวิสุทธิ์"/>
    <s v="ขาย"/>
    <s v="SVVM6812-002"/>
    <x v="103"/>
    <n v="899900"/>
    <m/>
    <n v="-23916528.75"/>
    <n v="899900"/>
  </r>
  <r>
    <d v="2568-12-30T00:00:00"/>
    <s v="คุณ วันชัย  อนุชาด"/>
    <s v="ขาย"/>
    <s v="SVVM6812-002"/>
    <x v="104"/>
    <n v="899900"/>
    <m/>
    <n v="-23016628.75"/>
    <n v="899900"/>
  </r>
  <r>
    <d v="2568-12-30T00:00:00"/>
    <s v="คุณ บุษกร  แป้นขาว"/>
    <s v="ขาย"/>
    <s v="SVVM6812-002"/>
    <x v="105"/>
    <n v="899900"/>
    <m/>
    <n v="-22116728.75"/>
    <n v="899900"/>
  </r>
  <r>
    <d v="2568-12-30T00:00:00"/>
    <s v="คุณ ณัฐพงษ์  กองชัยมงคล"/>
    <s v="ขาย"/>
    <s v="SVVM6812-002"/>
    <x v="106"/>
    <n v="899900"/>
    <m/>
    <n v="-21216828.75"/>
    <n v="899900"/>
  </r>
  <r>
    <d v="2568-12-30T00:00:00"/>
    <s v="คุณ ธนนดา  พันธุ์ธนวิบูลย์"/>
    <s v="ขาย"/>
    <s v="SVVM6812-002"/>
    <x v="107"/>
    <n v="899900"/>
    <m/>
    <n v="-20316928.75"/>
    <n v="899900"/>
  </r>
  <r>
    <d v="2568-12-30T00:00:00"/>
    <s v="คุณ อมาวศรี  ยิ่งธนพิบูลย์"/>
    <s v="ขาย"/>
    <s v="SVVM6812-002"/>
    <x v="108"/>
    <n v="899900"/>
    <m/>
    <n v="-19417028.75"/>
    <n v="899900"/>
  </r>
  <r>
    <d v="2568-12-30T00:00:00"/>
    <s v="คุณ อาภรณ์  อิสมาแอล"/>
    <s v="ขาย"/>
    <s v="SVVM6812-002"/>
    <x v="109"/>
    <n v="899900"/>
    <m/>
    <n v="-18517128.75"/>
    <n v="899900"/>
  </r>
  <r>
    <d v="2568-12-30T00:00:00"/>
    <s v="คุณนาฏนภา  เป้าปราณี"/>
    <s v="ขาย"/>
    <s v="SVVM6812-002"/>
    <x v="110"/>
    <n v="899900"/>
    <m/>
    <n v="-17617228.75"/>
    <n v="899900"/>
  </r>
  <r>
    <d v="2568-12-30T00:00:00"/>
    <s v="คุณกชกร  วัชราไทย"/>
    <s v="ขาย"/>
    <s v="SVVM6812-002"/>
    <x v="111"/>
    <n v="869900"/>
    <m/>
    <n v="-16747328.75"/>
    <n v="869900"/>
  </r>
  <r>
    <d v="2568-12-30T00:00:00"/>
    <s v="คุณสิริรัตน์  ตรงต่อศักดิ์"/>
    <s v="ขาย"/>
    <s v="SVVM6812-002"/>
    <x v="41"/>
    <n v="896900"/>
    <m/>
    <n v="-15850428.75"/>
    <n v="896900"/>
  </r>
  <r>
    <d v="2568-12-30T00:00:00"/>
    <s v="คุณกัญญา  อินทะมา"/>
    <s v="ขาย"/>
    <s v="SVVM6812-002"/>
    <x v="112"/>
    <n v="866900"/>
    <m/>
    <n v="-14983528.75"/>
    <n v="866900"/>
  </r>
  <r>
    <d v="2568-12-30T00:00:00"/>
    <s v="คุณพงษ์ชัย   เตียวรัตนกุล"/>
    <s v="ขาย"/>
    <s v="SVVM6812-002"/>
    <x v="113"/>
    <n v="899900"/>
    <m/>
    <n v="-14083628.75"/>
    <n v="899900"/>
  </r>
  <r>
    <d v="2568-12-30T00:00:00"/>
    <s v="คุณ อินทิรา  เฉลิมวงศ์"/>
    <s v="ขาย"/>
    <s v="SVVM6812-003"/>
    <x v="114"/>
    <n v="619900"/>
    <m/>
    <n v="-13463728.75"/>
    <n v="619900"/>
  </r>
  <r>
    <d v="2568-12-30T00:00:00"/>
    <s v="คุณ วาสนา  หมอกเจริญ"/>
    <s v="ขาย"/>
    <s v="SVVM6812-003"/>
    <x v="115"/>
    <n v="769900"/>
    <m/>
    <n v="-12693828.75"/>
    <n v="769900"/>
  </r>
  <r>
    <d v="2568-12-30T00:00:00"/>
    <s v="คุณณัฏฐา  ณ บางช้าง"/>
    <s v="ขาย"/>
    <s v="SVVM6812-003"/>
    <x v="116"/>
    <n v="619900"/>
    <m/>
    <n v="-12073928.75"/>
    <n v="619900"/>
  </r>
  <r>
    <d v="2568-12-30T00:00:00"/>
    <s v="คุณ สุดนารี  แซ่ลี้"/>
    <s v="ขาย"/>
    <s v="SVVM6812-003"/>
    <x v="117"/>
    <n v="769900"/>
    <m/>
    <n v="-11304028.75"/>
    <n v="769900"/>
  </r>
  <r>
    <d v="2568-12-30T00:00:00"/>
    <s v="คุณ ธีรวุฒิ  นิลเหลือง"/>
    <s v="ขาย"/>
    <s v="SVVM6812-003"/>
    <x v="118"/>
    <n v="769900"/>
    <m/>
    <n v="-10534128.75"/>
    <n v="769900"/>
  </r>
  <r>
    <d v="2568-12-30T00:00:00"/>
    <s v="คุณ ณัฐวุฒิ  ทาตุ๊"/>
    <s v="ขาย"/>
    <s v="SVVM6812-003"/>
    <x v="119"/>
    <n v="769900"/>
    <m/>
    <n v="-9764228.75"/>
    <n v="769900"/>
  </r>
  <r>
    <d v="2568-12-30T00:00:00"/>
    <s v="คุณ อัครวัฒน์  เดชานันท์เสถียร"/>
    <s v="ขาย"/>
    <s v="SVVM6812-003"/>
    <x v="120"/>
    <n v="619900"/>
    <m/>
    <n v="-9144328.75"/>
    <n v="619900"/>
  </r>
  <r>
    <d v="2568-12-30T00:00:00"/>
    <s v="คุณ นิรัตน์  สุวรรณวิชัย"/>
    <s v="ขาย"/>
    <s v="SVVM6812-003"/>
    <x v="121"/>
    <n v="769900"/>
    <m/>
    <n v="-8374428.75"/>
    <n v="769900"/>
  </r>
  <r>
    <d v="2568-12-30T00:00:00"/>
    <s v="คุณ รุ่งธรรม   เหลืองรุ่งวสันต์"/>
    <s v="ขาย"/>
    <s v="SVVM6812-003"/>
    <x v="122"/>
    <n v="619900"/>
    <m/>
    <n v="-7754528.75"/>
    <n v="619900"/>
  </r>
  <r>
    <d v="2568-12-30T00:00:00"/>
    <s v="คุณ สุกัลย์  เหลืองพรนุวัฒน์"/>
    <s v="ขาย"/>
    <s v="SVVM6812-003"/>
    <x v="123"/>
    <n v="769900"/>
    <m/>
    <n v="-6984628.75"/>
    <n v="769900"/>
  </r>
  <r>
    <d v="2568-12-30T00:00:00"/>
    <s v="คุณ จริยา  พิมละมาด"/>
    <s v="ขาย"/>
    <s v="SVVM6812-003"/>
    <x v="124"/>
    <n v="769900"/>
    <m/>
    <n v="-6214728.75"/>
    <n v="769900"/>
  </r>
  <r>
    <d v="2568-12-30T00:00:00"/>
    <s v="คุณ ชุมาพร  นนท์ปฎิมากุล"/>
    <s v="ขาย"/>
    <s v="SVVM6812-003"/>
    <x v="125"/>
    <n v="619900"/>
    <m/>
    <n v="-5594828.75"/>
    <n v="619900"/>
  </r>
  <r>
    <d v="2568-12-30T00:00:00"/>
    <s v="คุณ คมกฤษณ์  วังตระกูล"/>
    <s v="ขาย"/>
    <s v="SVVM6812-003"/>
    <x v="126"/>
    <n v="619900"/>
    <m/>
    <n v="-4974928.75"/>
    <n v="619900"/>
  </r>
  <r>
    <d v="2568-12-30T00:00:00"/>
    <s v="คุณ จันทร  สังข์สุวรรณ"/>
    <s v="ขาย"/>
    <s v="SVVM6812-003"/>
    <x v="127"/>
    <n v="769900"/>
    <m/>
    <n v="-4205028.75"/>
    <n v="769900"/>
  </r>
  <r>
    <d v="2568-12-30T00:00:00"/>
    <s v="คุณ ธัญวลัย  ต่างประภา"/>
    <s v="ขาย"/>
    <s v="SVVM6812-003"/>
    <x v="128"/>
    <n v="619900"/>
    <m/>
    <n v="-3585128.75"/>
    <n v="619900"/>
  </r>
  <r>
    <d v="2568-12-30T00:00:00"/>
    <s v="คุณ รินทร์ลภัส  ปิจดี"/>
    <s v="ขาย"/>
    <s v="SVVM6812-003"/>
    <x v="129"/>
    <n v="769900"/>
    <m/>
    <n v="-2815228.75"/>
    <n v="769900"/>
  </r>
  <r>
    <d v="2568-12-30T00:00:00"/>
    <s v="คุณ ธีระพงษ์  ตันสิทธิพันธ์"/>
    <s v="ขาย"/>
    <s v="SVVM6812-003"/>
    <x v="130"/>
    <n v="619900"/>
    <m/>
    <n v="-2195328.75"/>
    <n v="619900"/>
  </r>
  <r>
    <d v="2568-12-30T00:00:00"/>
    <s v="คุณณัฐพร  แปงวัน"/>
    <s v="ขาย"/>
    <s v="SVVM6812-003"/>
    <x v="131"/>
    <n v="619900"/>
    <m/>
    <n v="-1575428.75"/>
    <n v="619900"/>
  </r>
  <r>
    <d v="2568-12-30T00:00:00"/>
    <s v="คุณนิวัฒน์   จีรวงศ์สุนทร"/>
    <s v="ขาย"/>
    <s v="SVVM6812-003"/>
    <x v="132"/>
    <n v="589900"/>
    <m/>
    <n v="-985528.75"/>
    <n v="589900"/>
  </r>
  <r>
    <d v="2568-12-30T00:00:00"/>
    <s v="คุณนวกชมณ  บุญรอดรักษุ์"/>
    <s v="ขาย"/>
    <s v="SVVM6812-003"/>
    <x v="133"/>
    <n v="616900"/>
    <m/>
    <n v="-368628.75"/>
    <n v="616900"/>
  </r>
  <r>
    <d v="2568-12-30T00:00:00"/>
    <s v="คุณภควัต   ส่งคุณฤทธิการ"/>
    <s v="ขาย"/>
    <s v="SVVM6812-003"/>
    <x v="134"/>
    <n v="614900"/>
    <m/>
    <n v="246271.25"/>
    <n v="614900"/>
  </r>
  <r>
    <d v="2568-12-30T00:00:00"/>
    <s v="คุณ สมประสงค์   เชิดชู"/>
    <s v="ขาย"/>
    <s v="SVVM6812-004"/>
    <x v="135"/>
    <n v="829900"/>
    <m/>
    <n v="1076171.25"/>
    <n v="829900"/>
  </r>
  <r>
    <d v="2568-12-30T00:00:00"/>
    <s v="คุณ นันท์นภัส   สาโรวาท"/>
    <s v="ขาย"/>
    <s v="SVVM6812-004"/>
    <x v="136"/>
    <n v="699900"/>
    <m/>
    <n v="1776071.25"/>
    <n v="699900"/>
  </r>
  <r>
    <d v="2568-12-30T00:00:00"/>
    <s v="คุณ ณัฐพล  จรัสสุขสวัสดิ์"/>
    <s v="ขาย"/>
    <s v="SVVM6812-004"/>
    <x v="137"/>
    <n v="829900"/>
    <m/>
    <n v="2605971.25"/>
    <n v="829900"/>
  </r>
  <r>
    <d v="2568-12-30T00:00:00"/>
    <s v="คุณ สุรจิต  เมธีวิทยา"/>
    <s v="ขาย"/>
    <s v="SVVM6812-004"/>
    <x v="138"/>
    <n v="829900"/>
    <m/>
    <n v="3435871.25"/>
    <n v="829900"/>
  </r>
  <r>
    <d v="2568-12-30T00:00:00"/>
    <s v="คุณสมปรารถนา  คล้ายวิเชียร"/>
    <s v="ขาย"/>
    <s v="SVVM6812-004"/>
    <x v="139"/>
    <n v="674900"/>
    <m/>
    <n v="4110771.25"/>
    <n v="674900"/>
  </r>
  <r>
    <d v="2568-12-30T00:00:00"/>
    <s v="คุณ ภาคิณ  ประเสริฐจิต"/>
    <s v="ขาย"/>
    <s v="SVVM6812-005"/>
    <x v="140"/>
    <n v="1249000"/>
    <m/>
    <n v="5359771.25"/>
    <n v="1249000"/>
  </r>
  <r>
    <d v="2568-12-30T00:00:00"/>
    <s v="คุณทรงวุฒิ  พรมโท  [ฌHC-25120015]"/>
    <s v="ขาย"/>
    <s v="SVVM6812-005"/>
    <x v="141"/>
    <n v="1249000"/>
    <m/>
    <n v="6608771.25"/>
    <n v="1249000"/>
  </r>
  <r>
    <d v="2568-12-30T00:00:00"/>
    <s v="คุณ นัยน์ปพร  จันดี"/>
    <s v="ขาย"/>
    <s v="SVVM6812-006"/>
    <x v="24"/>
    <n v="7502.84"/>
    <m/>
    <n v="6616274.0899999999"/>
    <n v="7502.84"/>
  </r>
  <r>
    <d v="2568-12-30T00:00:00"/>
    <s v="คุณ จิตตาภา  ขุนทอง"/>
    <s v="ขาย"/>
    <s v="SVVM6812-006"/>
    <x v="142"/>
    <n v="2707.1"/>
    <m/>
    <n v="6618981.1900000004"/>
    <n v="2707.1"/>
  </r>
  <r>
    <d v="2568-12-30T00:00:00"/>
    <s v="คุณ สุภาธินี  อินทโสภา"/>
    <s v="ขาย"/>
    <s v="SVVM6812-006"/>
    <x v="87"/>
    <n v="9309"/>
    <m/>
    <n v="6628290.1900000004"/>
    <n v="9309"/>
  </r>
  <r>
    <d v="2568-12-30T00:00:00"/>
    <s v="คุณ สุดนารี  แซ่ลี้"/>
    <s v="ขาย"/>
    <s v="SVVM6812-006"/>
    <x v="117"/>
    <n v="3658.33"/>
    <m/>
    <n v="6631948.5199999996"/>
    <n v="3658.33"/>
  </r>
  <r>
    <d v="2568-12-30T00:00:00"/>
    <s v="คุณ วิรุฬห์  มูซอ"/>
    <s v="ขาย"/>
    <s v="SVVM6812-006"/>
    <x v="89"/>
    <n v="13327.92"/>
    <m/>
    <n v="6645276.4400000004"/>
    <n v="13327.92"/>
  </r>
  <r>
    <d v="2568-12-30T00:00:00"/>
    <s v="คุณ ธนกฤต  ฤทธิ์ภักดีกุล"/>
    <s v="ขาย"/>
    <s v="SVVM6812-006"/>
    <x v="143"/>
    <n v="10335.129999999999"/>
    <m/>
    <n v="6655611.5700000003"/>
    <n v="10335.129999999999"/>
  </r>
  <r>
    <d v="2568-12-30T00:00:00"/>
    <s v="คุณ นพรัตน์  ศักดิ์ศิริ"/>
    <s v="ขาย"/>
    <s v="SVVM6812-006"/>
    <x v="90"/>
    <n v="2406.4299999999998"/>
    <m/>
    <n v="6658018"/>
    <n v="2406.4299999999998"/>
  </r>
  <r>
    <d v="2568-12-30T00:00:00"/>
    <s v="คุณ ธีรวุฒิ  นิลเหลือง"/>
    <s v="ขาย"/>
    <s v="SVVM6812-006"/>
    <x v="118"/>
    <n v="14272.52"/>
    <m/>
    <n v="6672290.5199999996"/>
    <n v="14272.52"/>
  </r>
  <r>
    <d v="2568-12-30T00:00:00"/>
    <s v="คุณ ไอลดา  ไชยศรี"/>
    <s v="ขาย"/>
    <s v="SVVM6812-006"/>
    <x v="99"/>
    <n v="9478.06"/>
    <m/>
    <n v="6681768.5800000001"/>
    <n v="9478.06"/>
  </r>
  <r>
    <d v="2568-12-30T00:00:00"/>
    <s v="คุณ สุดาทิพย์  ศรีสร้อย"/>
    <s v="ขาย"/>
    <s v="SVVM6812-006"/>
    <x v="144"/>
    <n v="9470.57"/>
    <m/>
    <n v="6691239.1500000004"/>
    <n v="9470.57"/>
  </r>
  <r>
    <d v="2568-12-30T00:00:00"/>
    <s v="คุณ อินทิรา  เฉลิมวงศ์"/>
    <s v="ขาย"/>
    <s v="SVVM6812-006"/>
    <x v="114"/>
    <n v="10845.52"/>
    <m/>
    <n v="6702084.6699999999"/>
    <n v="10845.52"/>
  </r>
  <r>
    <d v="2568-12-30T00:00:00"/>
    <s v="คุณ กษิรา  บุญอินทร์"/>
    <s v="ขาย"/>
    <s v="SVVM6812-006"/>
    <x v="84"/>
    <n v="9557.24"/>
    <m/>
    <n v="6711641.9100000001"/>
    <n v="9557.24"/>
  </r>
  <r>
    <d v="2568-12-30T00:00:00"/>
    <s v="คุณ ยลดา   อาหรับ"/>
    <s v="ขาย"/>
    <s v="SVVM6812-006"/>
    <x v="100"/>
    <n v="17909.66"/>
    <m/>
    <n v="6729551.5700000003"/>
    <n v="17909.66"/>
  </r>
  <r>
    <d v="2568-12-30T00:00:00"/>
    <s v="คุณ สมประสงค์   เชิดชู"/>
    <s v="ขาย"/>
    <s v="SVVM6812-006"/>
    <x v="135"/>
    <n v="14360.47"/>
    <m/>
    <n v="6743912.04"/>
    <n v="14360.47"/>
  </r>
  <r>
    <d v="2568-12-30T00:00:00"/>
    <s v="คุณ ศุภกานต์  หลำนุ้ย"/>
    <s v="ขาย"/>
    <s v="SVVM6812-006"/>
    <x v="85"/>
    <n v="9199.66"/>
    <m/>
    <n v="6753111.7000000002"/>
    <n v="9199.66"/>
  </r>
  <r>
    <d v="2568-12-30T00:00:00"/>
    <s v="คุณ ณัฐวุฒิ  ทาตุ๊"/>
    <s v="ขาย"/>
    <s v="SVVM6812-006"/>
    <x v="119"/>
    <n v="12120.94"/>
    <m/>
    <n v="6765232.6399999997"/>
    <n v="12120.94"/>
  </r>
  <r>
    <d v="2568-12-30T00:00:00"/>
    <s v="คุณ อัครวัฒน์  เดชานันท์เสถียร"/>
    <s v="ขาย"/>
    <s v="SVVM6812-006"/>
    <x v="120"/>
    <n v="2406.4299999999998"/>
    <m/>
    <n v="6767639.0700000003"/>
    <n v="2406.4299999999998"/>
  </r>
  <r>
    <d v="2568-12-30T00:00:00"/>
    <s v="คุณ ชุติมา  บุญสูง"/>
    <s v="ขาย"/>
    <s v="SVVM6812-006"/>
    <x v="91"/>
    <n v="8395.2199999999993"/>
    <m/>
    <n v="6776034.29"/>
    <n v="8395.2199999999993"/>
  </r>
  <r>
    <d v="2568-12-30T00:00:00"/>
    <s v="คุณ มณฑป  โรจนวิสุทธิ์"/>
    <s v="ขาย"/>
    <s v="SVVM6812-006"/>
    <x v="103"/>
    <n v="2865.14"/>
    <m/>
    <n v="6778899.4299999997"/>
    <n v="2865.14"/>
  </r>
  <r>
    <d v="2568-12-30T00:00:00"/>
    <s v="คุณ วันชัย  อนุชาด"/>
    <s v="ขาย"/>
    <s v="SVVM6812-006"/>
    <x v="104"/>
    <n v="14787.34"/>
    <m/>
    <n v="6793686.7699999996"/>
    <n v="14787.34"/>
  </r>
  <r>
    <d v="2568-12-30T00:00:00"/>
    <s v="คุณ บุษกร  แป้นขาว"/>
    <s v="ขาย"/>
    <s v="SVVM6812-006"/>
    <x v="105"/>
    <n v="11226.88"/>
    <m/>
    <n v="6804913.6500000004"/>
    <n v="11226.88"/>
  </r>
  <r>
    <d v="2568-12-30T00:00:00"/>
    <s v="คุณ อาทิตยา  ภัทรบุญภักดิ์"/>
    <s v="ขาย"/>
    <s v="SVVM6812-006"/>
    <x v="102"/>
    <n v="12844.28"/>
    <m/>
    <n v="6817757.9299999997"/>
    <n v="12844.28"/>
  </r>
  <r>
    <d v="2568-12-30T00:00:00"/>
    <s v="คุณ ปรเมศวร์  เอี่ยมเต็ง"/>
    <s v="ขาย"/>
    <s v="SVVM6812-006"/>
    <x v="101"/>
    <n v="23105.58"/>
    <m/>
    <n v="6840863.5099999998"/>
    <n v="23105.58"/>
  </r>
  <r>
    <d v="2568-12-30T00:00:00"/>
    <s v="คุณ รุ่งธรรม   เหลืองรุ่งวสันต์"/>
    <s v="ขาย"/>
    <s v="SVVM6812-006"/>
    <x v="122"/>
    <n v="10845.52"/>
    <m/>
    <n v="6851709.0300000003"/>
    <n v="10845.52"/>
  </r>
  <r>
    <d v="2568-12-30T00:00:00"/>
    <s v="คุณ นิรัตน์  สุวรรณวิชัย"/>
    <s v="ขาย"/>
    <s v="SVVM6812-006"/>
    <x v="121"/>
    <n v="13785.88"/>
    <m/>
    <n v="6865494.9100000001"/>
    <n v="13785.88"/>
  </r>
  <r>
    <d v="2568-12-30T00:00:00"/>
    <s v="คุณ ปาณิศรา  ธนะชัยธิรดา"/>
    <s v="ขาย"/>
    <s v="SVVM6812-006"/>
    <x v="86"/>
    <n v="7977.36"/>
    <m/>
    <n v="6873472.2699999996"/>
    <n v="7977.36"/>
  </r>
  <r>
    <d v="2568-12-30T00:00:00"/>
    <s v="คุณ ณัฐพงษ์  กองชัยมงคล"/>
    <s v="ขาย"/>
    <s v="SVVM6812-006"/>
    <x v="106"/>
    <n v="16990.29"/>
    <m/>
    <n v="6890462.5599999996"/>
    <n v="16990.29"/>
  </r>
  <r>
    <d v="2568-12-30T00:00:00"/>
    <s v="คุณ ศศมน  พุทธสอน"/>
    <s v="ขาย"/>
    <s v="SVVM6812-006"/>
    <x v="92"/>
    <n v="2526.27"/>
    <m/>
    <n v="6892988.8300000001"/>
    <n v="2526.27"/>
  </r>
  <r>
    <d v="2568-12-30T00:00:00"/>
    <s v="คุณ อนาคิน  ธนรุ่งปัญญาสิทธิ์"/>
    <s v="ขาย"/>
    <s v="SVVM6812-006"/>
    <x v="93"/>
    <n v="8257.19"/>
    <m/>
    <n v="6901246.0199999996"/>
    <n v="8257.19"/>
  </r>
  <r>
    <d v="2568-12-30T00:00:00"/>
    <s v="คุณ สุกัลย์  เหลืองพรนุวัฒน์"/>
    <s v="ขาย"/>
    <s v="SVVM6812-006"/>
    <x v="123"/>
    <n v="3473.79"/>
    <m/>
    <n v="6904719.8099999996"/>
    <n v="3473.79"/>
  </r>
  <r>
    <d v="2568-12-30T00:00:00"/>
    <s v="คุณ วาสนา  หมอกเจริญ"/>
    <s v="ขาย"/>
    <s v="SVVM6812-006"/>
    <x v="115"/>
    <n v="18176.84"/>
    <m/>
    <n v="6922896.6500000004"/>
    <n v="18176.84"/>
  </r>
  <r>
    <d v="2568-12-30T00:00:00"/>
    <s v="คุณ ภาคิณ  ประเสริฐจิต"/>
    <s v="ขาย"/>
    <s v="SVVM6812-006"/>
    <x v="140"/>
    <n v="18371.900000000001"/>
    <m/>
    <n v="6941268.5499999998"/>
    <n v="18371.900000000001"/>
  </r>
  <r>
    <d v="2568-12-30T00:00:00"/>
    <s v="คุณ จริยา  พิมละมาด"/>
    <s v="ขาย"/>
    <s v="SVVM6812-006"/>
    <x v="124"/>
    <n v="13666.97"/>
    <m/>
    <n v="6954935.5199999996"/>
    <n v="13666.97"/>
  </r>
  <r>
    <d v="2568-12-30T00:00:00"/>
    <s v="คุณ ธนนดา  พันธุ์ธนวิบูลย์"/>
    <s v="ขาย"/>
    <s v="SVVM6812-006"/>
    <x v="107"/>
    <n v="21938.21"/>
    <m/>
    <n v="6976873.7300000004"/>
    <n v="21938.21"/>
  </r>
  <r>
    <d v="2568-12-30T00:00:00"/>
    <s v="คุณ ชุมาพร  นนท์ปฎิมากุล"/>
    <s v="ขาย"/>
    <s v="SVVM6812-006"/>
    <x v="125"/>
    <n v="9539.2000000000007"/>
    <m/>
    <n v="6986412.9299999997"/>
    <n v="9539.2000000000007"/>
  </r>
  <r>
    <d v="2568-12-30T00:00:00"/>
    <s v="คุณ คมกฤษณ์  วังตระกูล"/>
    <s v="ขาย"/>
    <s v="SVVM6812-006"/>
    <x v="126"/>
    <n v="2945.71"/>
    <m/>
    <n v="6989358.6399999997"/>
    <n v="2945.71"/>
  </r>
  <r>
    <d v="2568-12-30T00:00:00"/>
    <s v="คุณ จันทร  สังข์สุวรรณ"/>
    <s v="ขาย"/>
    <s v="SVVM6812-006"/>
    <x v="127"/>
    <n v="2933.57"/>
    <m/>
    <n v="6992292.21"/>
    <n v="2933.57"/>
  </r>
  <r>
    <d v="2568-12-30T00:00:00"/>
    <s v="คุณ ธัญวลัย  ต่างประภา"/>
    <s v="ขาย"/>
    <s v="SVVM6812-006"/>
    <x v="128"/>
    <n v="2553.02"/>
    <m/>
    <n v="6994845.2300000004"/>
    <n v="2553.02"/>
  </r>
  <r>
    <d v="2568-12-30T00:00:00"/>
    <s v="คุณ นันท์นภัส   สาโรวาท"/>
    <s v="ขาย"/>
    <s v="SVVM6812-006"/>
    <x v="136"/>
    <n v="13235.9"/>
    <m/>
    <n v="7008081.1299999999"/>
    <n v="13235.9"/>
  </r>
  <r>
    <d v="2568-12-30T00:00:00"/>
    <s v="คุณ อมาวศรี  ยิ่งธนพิบูลย์"/>
    <s v="ขาย"/>
    <s v="SVVM6812-006"/>
    <x v="108"/>
    <n v="2706.03"/>
    <m/>
    <n v="7010787.1600000001"/>
    <n v="2706.03"/>
  </r>
  <r>
    <d v="2568-12-30T00:00:00"/>
    <s v="คุณ อาภรณ์  อิสมาแอล"/>
    <s v="ขาย"/>
    <s v="SVVM6812-006"/>
    <x v="109"/>
    <n v="2706.03"/>
    <m/>
    <n v="7013493.1900000004"/>
    <n v="2706.03"/>
  </r>
  <r>
    <d v="2568-12-31T00:00:00"/>
    <s v="รับชำระหนี้จาก อมาวศรี ยิ่งธนพิบูลย์"/>
    <s v="รับ"/>
    <s v="RVEM6812-054"/>
    <x v="145"/>
    <m/>
    <n v="899900"/>
    <n v="6113593.1900000004"/>
    <n v="-899900"/>
  </r>
  <r>
    <d v="2568-12-31T00:00:00"/>
    <s v="รับชำระหนี้จาก อมาวศรี ยิ่งธนพิบูลย์"/>
    <s v="รับ"/>
    <s v="RVEM6812-054"/>
    <x v="145"/>
    <m/>
    <n v="2706.03"/>
    <n v="6110887.1600000001"/>
    <n v="-2706.03"/>
  </r>
  <r>
    <d v="2568-12-31T00:00:00"/>
    <s v="รับชำระหนี้จาก อาภรณ์ อิสมาแอล"/>
    <s v="รับ"/>
    <s v="RVEM6812-055"/>
    <x v="146"/>
    <m/>
    <n v="899900"/>
    <n v="5210987.16"/>
    <n v="-899900"/>
  </r>
  <r>
    <d v="2568-12-31T00:00:00"/>
    <s v="รับชำระหนี้จาก อาภรณ์ อิสมาแอล"/>
    <s v="รับ"/>
    <s v="RVEM6812-055"/>
    <x v="146"/>
    <m/>
    <n v="2706.03"/>
    <n v="5208281.13"/>
    <n v="-2706.03"/>
  </r>
  <r>
    <d v="2568-12-31T00:00:00"/>
    <s v="รับชำระหนี้จาก วาสนา หมอกเจริญ"/>
    <s v="รับ"/>
    <s v="RVEM6812-056"/>
    <x v="147"/>
    <m/>
    <n v="769900"/>
    <n v="4438381.13"/>
    <n v="-769900"/>
  </r>
  <r>
    <d v="2568-12-31T00:00:00"/>
    <s v="รับชำระหนี้จาก วาสนา หมอกเจริญ"/>
    <s v="รับ"/>
    <s v="RVEM6812-056"/>
    <x v="147"/>
    <m/>
    <n v="18176.84"/>
    <n v="4420204.29"/>
    <n v="-18176.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14E39-4A2B-4EAA-9207-155E11BF1C1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2" firstHeaderRow="1" firstDataRow="1" firstDataCol="1"/>
  <pivotFields count="9">
    <pivotField showAll="0"/>
    <pivotField showAll="0"/>
    <pivotField showAll="0"/>
    <pivotField showAll="0"/>
    <pivotField axis="axisRow" showAll="0">
      <items count="332">
        <item m="1" x="311"/>
        <item m="1" x="283"/>
        <item m="1" x="284"/>
        <item m="1" x="150"/>
        <item m="1" x="153"/>
        <item m="1" x="176"/>
        <item m="1" x="174"/>
        <item m="1" x="177"/>
        <item m="1" x="207"/>
        <item m="1" x="166"/>
        <item m="1" x="159"/>
        <item m="1" x="175"/>
        <item m="1" x="197"/>
        <item m="1" x="186"/>
        <item m="1" x="157"/>
        <item m="1" x="170"/>
        <item m="1" x="198"/>
        <item m="1" x="178"/>
        <item m="1" x="149"/>
        <item m="1" x="180"/>
        <item m="1" x="171"/>
        <item m="1" x="185"/>
        <item m="1" x="165"/>
        <item m="1" x="203"/>
        <item m="1" x="194"/>
        <item m="1" x="196"/>
        <item m="1" x="208"/>
        <item m="1" x="221"/>
        <item m="1" x="163"/>
        <item m="1" x="160"/>
        <item m="1" x="154"/>
        <item m="1" x="179"/>
        <item m="1" x="172"/>
        <item m="1" x="195"/>
        <item m="1" x="192"/>
        <item m="1" x="169"/>
        <item m="1" x="201"/>
        <item m="1" x="156"/>
        <item m="1" x="155"/>
        <item m="1" x="173"/>
        <item m="1" x="168"/>
        <item m="1" x="151"/>
        <item m="1" x="167"/>
        <item m="1" x="161"/>
        <item m="1" x="202"/>
        <item m="1" x="199"/>
        <item m="1" x="158"/>
        <item m="1" x="209"/>
        <item m="1" x="200"/>
        <item m="1" x="152"/>
        <item m="1" x="188"/>
        <item m="1" x="190"/>
        <item m="1" x="205"/>
        <item m="1" x="193"/>
        <item m="1" x="181"/>
        <item m="1" x="164"/>
        <item m="1" x="222"/>
        <item m="1" x="183"/>
        <item m="1" x="187"/>
        <item m="1" x="182"/>
        <item m="1" x="191"/>
        <item m="1" x="204"/>
        <item m="1" x="184"/>
        <item m="1" x="206"/>
        <item m="1" x="162"/>
        <item m="1" x="189"/>
        <item m="1" x="287"/>
        <item m="1" x="289"/>
        <item m="1" x="290"/>
        <item m="1" x="292"/>
        <item m="1" x="297"/>
        <item m="1" x="217"/>
        <item m="1" x="215"/>
        <item m="1" x="218"/>
        <item m="1" x="219"/>
        <item m="1" x="220"/>
        <item m="1" x="216"/>
        <item m="1" x="214"/>
        <item m="1" x="325"/>
        <item m="1" x="315"/>
        <item m="1" x="309"/>
        <item m="1" x="313"/>
        <item m="1" x="316"/>
        <item m="1" x="312"/>
        <item m="1" x="282"/>
        <item m="1" x="323"/>
        <item m="1" x="281"/>
        <item m="1" x="317"/>
        <item m="1" x="321"/>
        <item m="1" x="291"/>
        <item m="1" x="288"/>
        <item m="1" x="294"/>
        <item m="1" x="277"/>
        <item m="1" x="269"/>
        <item m="1" x="303"/>
        <item m="1" x="266"/>
        <item m="1" x="268"/>
        <item m="1" x="296"/>
        <item m="1" x="286"/>
        <item m="1" x="304"/>
        <item m="1" x="276"/>
        <item m="1" x="299"/>
        <item m="1" x="285"/>
        <item m="1" x="300"/>
        <item m="1" x="278"/>
        <item m="1" x="267"/>
        <item m="1" x="324"/>
        <item m="1" x="329"/>
        <item m="1" x="308"/>
        <item m="1" x="255"/>
        <item m="1" x="254"/>
        <item m="1" x="239"/>
        <item m="1" x="242"/>
        <item m="1" x="293"/>
        <item m="1" x="306"/>
        <item m="1" x="212"/>
        <item m="1" x="210"/>
        <item m="1" x="228"/>
        <item m="1" x="271"/>
        <item m="1" x="250"/>
        <item m="1" x="314"/>
        <item m="1" x="301"/>
        <item m="1" x="245"/>
        <item m="1" x="229"/>
        <item m="1" x="270"/>
        <item m="1" x="272"/>
        <item m="1" x="319"/>
        <item m="1" x="264"/>
        <item m="1" x="227"/>
        <item m="1" x="233"/>
        <item m="1" x="262"/>
        <item m="1" x="225"/>
        <item m="1" x="273"/>
        <item m="1" x="295"/>
        <item m="1" x="224"/>
        <item m="1" x="256"/>
        <item m="1" x="253"/>
        <item m="1" x="243"/>
        <item m="1" x="211"/>
        <item m="1" x="279"/>
        <item m="1" x="263"/>
        <item m="1" x="252"/>
        <item m="1" x="259"/>
        <item m="1" x="280"/>
        <item m="1" x="241"/>
        <item m="1" x="322"/>
        <item m="1" x="238"/>
        <item m="1" x="302"/>
        <item m="1" x="310"/>
        <item m="1" x="235"/>
        <item m="1" x="305"/>
        <item m="1" x="232"/>
        <item m="1" x="248"/>
        <item m="1" x="249"/>
        <item m="1" x="213"/>
        <item m="1" x="251"/>
        <item m="1" x="318"/>
        <item m="1" x="260"/>
        <item m="1" x="237"/>
        <item m="1" x="226"/>
        <item m="1" x="328"/>
        <item m="1" x="275"/>
        <item m="1" x="298"/>
        <item m="1" x="223"/>
        <item m="1" x="265"/>
        <item m="1" x="307"/>
        <item m="1" x="247"/>
        <item m="1" x="320"/>
        <item m="1" x="234"/>
        <item m="1" x="240"/>
        <item m="1" x="257"/>
        <item m="1" x="230"/>
        <item m="1" x="261"/>
        <item m="1" x="258"/>
        <item m="1" x="274"/>
        <item m="1" x="231"/>
        <item m="1" x="326"/>
        <item m="1" x="244"/>
        <item m="1" x="236"/>
        <item m="1" x="327"/>
        <item m="1" x="246"/>
        <item m="1" x="330"/>
        <item x="0"/>
        <item x="1"/>
        <item x="2"/>
        <item x="3"/>
        <item x="4"/>
        <item x="5"/>
        <item x="6"/>
        <item x="7"/>
        <item x="86"/>
        <item x="106"/>
        <item x="92"/>
        <item x="93"/>
        <item x="123"/>
        <item x="115"/>
        <item x="140"/>
        <item x="124"/>
        <item x="107"/>
        <item x="125"/>
        <item x="126"/>
        <item x="127"/>
        <item x="128"/>
        <item x="136"/>
        <item x="108"/>
        <item x="109"/>
        <item x="145"/>
        <item x="146"/>
        <item x="147"/>
        <item x="8"/>
        <item x="9"/>
        <item x="104"/>
        <item x="105"/>
        <item x="102"/>
        <item x="101"/>
        <item x="122"/>
        <item x="121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148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4"/>
        <item x="95"/>
        <item x="96"/>
        <item x="97"/>
        <item x="98"/>
        <item x="99"/>
        <item x="100"/>
        <item x="103"/>
        <item x="110"/>
        <item x="111"/>
        <item x="112"/>
        <item x="113"/>
        <item x="114"/>
        <item x="116"/>
        <item x="117"/>
        <item x="118"/>
        <item x="119"/>
        <item x="120"/>
        <item x="129"/>
        <item x="130"/>
        <item x="131"/>
        <item x="132"/>
        <item x="133"/>
        <item x="134"/>
        <item x="135"/>
        <item x="137"/>
        <item x="138"/>
        <item x="139"/>
        <item x="141"/>
        <item x="142"/>
        <item x="143"/>
        <item x="144"/>
        <item x="53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149"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 t="grand">
      <x/>
    </i>
  </rowItems>
  <colItems count="1">
    <i/>
  </colItems>
  <dataFields count="1">
    <dataField name="Sum of Amount" fld="8" baseField="0" baseItem="0" numFmtId="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7F00-316B-449D-A71D-D94072558EAA}">
  <dimension ref="A1:G295"/>
  <sheetViews>
    <sheetView workbookViewId="0">
      <pane ySplit="5" topLeftCell="A144" activePane="bottomLeft" state="frozen"/>
      <selection pane="bottomLeft" activeCell="C35" sqref="C35"/>
    </sheetView>
  </sheetViews>
  <sheetFormatPr defaultRowHeight="14.25" x14ac:dyDescent="0.2"/>
  <cols>
    <col min="1" max="1" width="14.875" customWidth="1"/>
    <col min="2" max="2" width="10.875" customWidth="1"/>
    <col min="3" max="3" width="22.25" bestFit="1" customWidth="1"/>
    <col min="4" max="4" width="44.125" bestFit="1" customWidth="1"/>
    <col min="5" max="6" width="12.75" style="2" bestFit="1" customWidth="1"/>
    <col min="7" max="7" width="13.625" style="2" customWidth="1"/>
  </cols>
  <sheetData>
    <row r="1" spans="1:7" x14ac:dyDescent="0.2">
      <c r="A1" t="s">
        <v>0</v>
      </c>
    </row>
    <row r="2" spans="1:7" x14ac:dyDescent="0.2">
      <c r="A2" t="s">
        <v>1</v>
      </c>
    </row>
    <row r="3" spans="1:7" x14ac:dyDescent="0.2">
      <c r="A3" t="s">
        <v>2</v>
      </c>
      <c r="B3" t="s">
        <v>3</v>
      </c>
      <c r="C3" t="s">
        <v>4</v>
      </c>
      <c r="D3" t="s">
        <v>5</v>
      </c>
    </row>
    <row r="4" spans="1:7" x14ac:dyDescent="0.2">
      <c r="A4" t="s">
        <v>6</v>
      </c>
      <c r="B4" t="s">
        <v>7</v>
      </c>
      <c r="C4" t="s">
        <v>8</v>
      </c>
      <c r="D4" t="s">
        <v>9</v>
      </c>
    </row>
    <row r="5" spans="1:7" x14ac:dyDescent="0.2">
      <c r="A5" t="s">
        <v>10</v>
      </c>
      <c r="B5" t="s">
        <v>11</v>
      </c>
      <c r="C5" t="s">
        <v>12</v>
      </c>
      <c r="D5" t="s">
        <v>13</v>
      </c>
      <c r="E5" s="2" t="s">
        <v>14</v>
      </c>
      <c r="F5" s="2" t="s">
        <v>15</v>
      </c>
      <c r="G5" s="2" t="s">
        <v>16</v>
      </c>
    </row>
    <row r="6" spans="1:7" x14ac:dyDescent="0.2">
      <c r="A6" t="s">
        <v>17</v>
      </c>
      <c r="C6" t="s">
        <v>18</v>
      </c>
      <c r="G6" s="2">
        <v>0</v>
      </c>
    </row>
    <row r="7" spans="1:7" x14ac:dyDescent="0.2">
      <c r="A7" s="1">
        <v>244257</v>
      </c>
      <c r="B7" t="s">
        <v>19</v>
      </c>
      <c r="C7" t="s">
        <v>20</v>
      </c>
      <c r="D7" t="s">
        <v>21</v>
      </c>
      <c r="F7" s="3">
        <v>899900</v>
      </c>
      <c r="G7" s="2">
        <v>-899900</v>
      </c>
    </row>
    <row r="8" spans="1:7" x14ac:dyDescent="0.2">
      <c r="A8" s="1">
        <v>244257</v>
      </c>
      <c r="B8" t="s">
        <v>19</v>
      </c>
      <c r="C8" t="s">
        <v>20</v>
      </c>
      <c r="D8" t="s">
        <v>21</v>
      </c>
      <c r="F8" s="3">
        <v>8541.81</v>
      </c>
      <c r="G8" s="2">
        <v>-908441.81</v>
      </c>
    </row>
    <row r="9" spans="1:7" x14ac:dyDescent="0.2">
      <c r="A9" s="1">
        <v>244257</v>
      </c>
      <c r="B9" t="s">
        <v>22</v>
      </c>
      <c r="C9" t="s">
        <v>23</v>
      </c>
      <c r="D9" t="s">
        <v>24</v>
      </c>
      <c r="E9" s="3">
        <v>899900</v>
      </c>
      <c r="G9" s="2">
        <v>-8541.81</v>
      </c>
    </row>
    <row r="10" spans="1:7" x14ac:dyDescent="0.2">
      <c r="A10" s="1">
        <v>244257</v>
      </c>
      <c r="B10" t="s">
        <v>22</v>
      </c>
      <c r="C10" t="s">
        <v>23</v>
      </c>
      <c r="D10" t="s">
        <v>24</v>
      </c>
      <c r="E10" s="3">
        <v>8541.81</v>
      </c>
      <c r="G10" s="2">
        <v>0</v>
      </c>
    </row>
    <row r="11" spans="1:7" x14ac:dyDescent="0.2">
      <c r="A11" s="1">
        <v>244259</v>
      </c>
      <c r="B11" t="s">
        <v>22</v>
      </c>
      <c r="C11" t="s">
        <v>25</v>
      </c>
      <c r="D11" t="s">
        <v>26</v>
      </c>
      <c r="E11" s="3">
        <v>1249000</v>
      </c>
      <c r="G11" s="2">
        <v>1249000</v>
      </c>
    </row>
    <row r="12" spans="1:7" x14ac:dyDescent="0.2">
      <c r="A12" s="1">
        <v>244259</v>
      </c>
      <c r="B12" t="s">
        <v>22</v>
      </c>
      <c r="C12" t="s">
        <v>25</v>
      </c>
      <c r="D12" t="s">
        <v>26</v>
      </c>
      <c r="E12" s="3">
        <v>2769.16</v>
      </c>
      <c r="G12" s="2">
        <v>1251769.1599999999</v>
      </c>
    </row>
    <row r="13" spans="1:7" x14ac:dyDescent="0.2">
      <c r="A13" s="1">
        <v>244265</v>
      </c>
      <c r="B13" t="s">
        <v>19</v>
      </c>
      <c r="C13" t="s">
        <v>27</v>
      </c>
      <c r="D13" t="s">
        <v>28</v>
      </c>
      <c r="F13" s="3">
        <v>1249000</v>
      </c>
      <c r="G13" s="2">
        <v>2769.16</v>
      </c>
    </row>
    <row r="14" spans="1:7" x14ac:dyDescent="0.2">
      <c r="A14" s="1">
        <v>244265</v>
      </c>
      <c r="B14" t="s">
        <v>19</v>
      </c>
      <c r="C14" t="s">
        <v>27</v>
      </c>
      <c r="D14" t="s">
        <v>28</v>
      </c>
      <c r="F14" s="3">
        <v>2769.16</v>
      </c>
      <c r="G14" s="2">
        <v>0</v>
      </c>
    </row>
    <row r="15" spans="1:7" x14ac:dyDescent="0.2">
      <c r="A15" s="1">
        <v>244267</v>
      </c>
      <c r="B15" t="s">
        <v>19</v>
      </c>
      <c r="C15" t="s">
        <v>29</v>
      </c>
      <c r="D15" t="s">
        <v>30</v>
      </c>
      <c r="F15" s="3">
        <v>899900</v>
      </c>
      <c r="G15" s="2">
        <v>-899900</v>
      </c>
    </row>
    <row r="16" spans="1:7" x14ac:dyDescent="0.2">
      <c r="A16" s="1">
        <v>244267</v>
      </c>
      <c r="B16" t="s">
        <v>19</v>
      </c>
      <c r="C16" t="s">
        <v>29</v>
      </c>
      <c r="D16" t="s">
        <v>30</v>
      </c>
      <c r="F16" s="3">
        <v>15383.39</v>
      </c>
      <c r="G16" s="2">
        <v>-915283.39</v>
      </c>
    </row>
    <row r="17" spans="1:7" x14ac:dyDescent="0.2">
      <c r="A17" s="1">
        <v>244268</v>
      </c>
      <c r="B17" t="s">
        <v>22</v>
      </c>
      <c r="C17" t="s">
        <v>31</v>
      </c>
      <c r="D17" t="s">
        <v>32</v>
      </c>
      <c r="E17" s="3">
        <v>899900</v>
      </c>
      <c r="G17" s="2">
        <v>-15383.39</v>
      </c>
    </row>
    <row r="18" spans="1:7" x14ac:dyDescent="0.2">
      <c r="A18" s="1">
        <v>244268</v>
      </c>
      <c r="B18" t="s">
        <v>22</v>
      </c>
      <c r="C18" t="s">
        <v>31</v>
      </c>
      <c r="D18" t="s">
        <v>32</v>
      </c>
      <c r="E18" s="3">
        <v>8609.2199999999993</v>
      </c>
      <c r="G18" s="2">
        <v>-6774.17</v>
      </c>
    </row>
    <row r="19" spans="1:7" x14ac:dyDescent="0.2">
      <c r="A19" s="1">
        <v>244268</v>
      </c>
      <c r="B19" t="s">
        <v>22</v>
      </c>
      <c r="C19" t="s">
        <v>33</v>
      </c>
      <c r="D19" t="s">
        <v>34</v>
      </c>
      <c r="E19" s="3">
        <v>899900</v>
      </c>
      <c r="G19" s="2">
        <v>893125.83</v>
      </c>
    </row>
    <row r="20" spans="1:7" x14ac:dyDescent="0.2">
      <c r="A20" s="1">
        <v>244268</v>
      </c>
      <c r="B20" t="s">
        <v>22</v>
      </c>
      <c r="C20" t="s">
        <v>33</v>
      </c>
      <c r="D20" t="s">
        <v>34</v>
      </c>
      <c r="E20" s="3">
        <v>15383.39</v>
      </c>
      <c r="G20" s="2">
        <v>908509.22</v>
      </c>
    </row>
    <row r="21" spans="1:7" x14ac:dyDescent="0.2">
      <c r="A21" s="1">
        <v>244271</v>
      </c>
      <c r="B21" t="s">
        <v>22</v>
      </c>
      <c r="C21" t="s">
        <v>35</v>
      </c>
      <c r="D21" t="s">
        <v>36</v>
      </c>
      <c r="E21" s="3">
        <v>499900</v>
      </c>
      <c r="G21" s="2">
        <v>1408409.22</v>
      </c>
    </row>
    <row r="22" spans="1:7" x14ac:dyDescent="0.2">
      <c r="A22" s="1">
        <v>244271</v>
      </c>
      <c r="B22" t="s">
        <v>22</v>
      </c>
      <c r="C22" t="s">
        <v>35</v>
      </c>
      <c r="D22" t="s">
        <v>36</v>
      </c>
      <c r="E22" s="3">
        <v>5384.24</v>
      </c>
      <c r="G22" s="2">
        <v>1413793.46</v>
      </c>
    </row>
    <row r="23" spans="1:7" x14ac:dyDescent="0.2">
      <c r="A23" s="1">
        <v>244272</v>
      </c>
      <c r="B23" t="s">
        <v>19</v>
      </c>
      <c r="C23" t="s">
        <v>37</v>
      </c>
      <c r="D23" t="s">
        <v>38</v>
      </c>
      <c r="F23" s="3">
        <v>499900</v>
      </c>
      <c r="G23" s="2">
        <v>913893.46</v>
      </c>
    </row>
    <row r="24" spans="1:7" x14ac:dyDescent="0.2">
      <c r="A24" s="1">
        <v>244272</v>
      </c>
      <c r="B24" t="s">
        <v>19</v>
      </c>
      <c r="C24" t="s">
        <v>37</v>
      </c>
      <c r="D24" t="s">
        <v>38</v>
      </c>
      <c r="F24" s="3">
        <v>5384.24</v>
      </c>
      <c r="G24" s="2">
        <v>908509.22</v>
      </c>
    </row>
    <row r="25" spans="1:7" x14ac:dyDescent="0.2">
      <c r="A25" s="1">
        <v>244272</v>
      </c>
      <c r="B25" t="s">
        <v>19</v>
      </c>
      <c r="C25" t="s">
        <v>39</v>
      </c>
      <c r="D25" t="s">
        <v>40</v>
      </c>
      <c r="F25" s="3">
        <v>899900</v>
      </c>
      <c r="G25" s="2">
        <v>8609.2199999999993</v>
      </c>
    </row>
    <row r="26" spans="1:7" x14ac:dyDescent="0.2">
      <c r="A26" s="1">
        <v>244272</v>
      </c>
      <c r="B26" t="s">
        <v>19</v>
      </c>
      <c r="C26" t="s">
        <v>39</v>
      </c>
      <c r="D26" t="s">
        <v>40</v>
      </c>
      <c r="F26" s="3">
        <v>8609.2199999999993</v>
      </c>
      <c r="G26" s="2">
        <v>0</v>
      </c>
    </row>
    <row r="27" spans="1:7" x14ac:dyDescent="0.2">
      <c r="A27" s="1">
        <v>244275</v>
      </c>
      <c r="B27" t="s">
        <v>19</v>
      </c>
      <c r="C27" t="s">
        <v>41</v>
      </c>
      <c r="D27" t="s">
        <v>42</v>
      </c>
      <c r="F27" s="3">
        <v>899900</v>
      </c>
      <c r="G27" s="2">
        <v>-899900</v>
      </c>
    </row>
    <row r="28" spans="1:7" x14ac:dyDescent="0.2">
      <c r="A28" s="1">
        <v>244275</v>
      </c>
      <c r="B28" t="s">
        <v>22</v>
      </c>
      <c r="C28" t="s">
        <v>43</v>
      </c>
      <c r="D28" t="s">
        <v>44</v>
      </c>
      <c r="E28" s="3">
        <v>899900</v>
      </c>
      <c r="G28" s="2">
        <v>0</v>
      </c>
    </row>
    <row r="29" spans="1:7" x14ac:dyDescent="0.2">
      <c r="A29" s="1">
        <v>244278</v>
      </c>
      <c r="B29" t="s">
        <v>19</v>
      </c>
      <c r="C29" t="s">
        <v>45</v>
      </c>
      <c r="D29" t="s">
        <v>46</v>
      </c>
      <c r="F29" s="3">
        <v>499900</v>
      </c>
      <c r="G29" s="2">
        <v>-499900</v>
      </c>
    </row>
    <row r="30" spans="1:7" x14ac:dyDescent="0.2">
      <c r="A30" s="1">
        <v>244278</v>
      </c>
      <c r="B30" t="s">
        <v>19</v>
      </c>
      <c r="C30" t="s">
        <v>45</v>
      </c>
      <c r="D30" t="s">
        <v>46</v>
      </c>
      <c r="F30" s="3">
        <v>6062.62</v>
      </c>
      <c r="G30" s="2">
        <v>-505962.62</v>
      </c>
    </row>
    <row r="31" spans="1:7" x14ac:dyDescent="0.2">
      <c r="A31" s="1">
        <v>244278</v>
      </c>
      <c r="B31" t="s">
        <v>22</v>
      </c>
      <c r="C31" t="s">
        <v>47</v>
      </c>
      <c r="D31" t="s">
        <v>48</v>
      </c>
      <c r="E31" s="3">
        <v>499900</v>
      </c>
      <c r="G31" s="2">
        <v>-6062.62</v>
      </c>
    </row>
    <row r="32" spans="1:7" x14ac:dyDescent="0.2">
      <c r="A32" s="1">
        <v>244278</v>
      </c>
      <c r="B32" t="s">
        <v>22</v>
      </c>
      <c r="C32" t="s">
        <v>47</v>
      </c>
      <c r="D32" t="s">
        <v>48</v>
      </c>
      <c r="E32" s="3">
        <v>6062.62</v>
      </c>
      <c r="G32" s="2">
        <v>0</v>
      </c>
    </row>
    <row r="33" spans="1:7" x14ac:dyDescent="0.2">
      <c r="A33" s="1">
        <v>244285</v>
      </c>
      <c r="B33" t="s">
        <v>19</v>
      </c>
      <c r="C33" t="s">
        <v>49</v>
      </c>
      <c r="D33" t="s">
        <v>50</v>
      </c>
      <c r="F33" s="3">
        <v>899900</v>
      </c>
      <c r="G33" s="2">
        <v>-899900</v>
      </c>
    </row>
    <row r="34" spans="1:7" x14ac:dyDescent="0.2">
      <c r="A34" s="1">
        <v>244285</v>
      </c>
      <c r="B34" t="s">
        <v>19</v>
      </c>
      <c r="C34" t="s">
        <v>49</v>
      </c>
      <c r="D34" t="s">
        <v>50</v>
      </c>
      <c r="F34" s="3">
        <v>2533.7600000000002</v>
      </c>
      <c r="G34" s="2">
        <v>-902433.76</v>
      </c>
    </row>
    <row r="35" spans="1:7" x14ac:dyDescent="0.2">
      <c r="A35" s="1">
        <v>244285</v>
      </c>
      <c r="B35" t="s">
        <v>22</v>
      </c>
      <c r="C35" t="s">
        <v>51</v>
      </c>
      <c r="D35" t="s">
        <v>52</v>
      </c>
      <c r="E35" s="3">
        <v>899900</v>
      </c>
      <c r="G35" s="2">
        <v>-2533.7600000000002</v>
      </c>
    </row>
    <row r="36" spans="1:7" x14ac:dyDescent="0.2">
      <c r="A36" s="1">
        <v>244285</v>
      </c>
      <c r="B36" t="s">
        <v>22</v>
      </c>
      <c r="C36" t="s">
        <v>51</v>
      </c>
      <c r="D36" t="s">
        <v>52</v>
      </c>
      <c r="E36" s="3">
        <v>2533.7600000000002</v>
      </c>
      <c r="G36" s="2">
        <v>0</v>
      </c>
    </row>
    <row r="37" spans="1:7" x14ac:dyDescent="0.2">
      <c r="A37" s="1">
        <v>244287</v>
      </c>
      <c r="B37" t="s">
        <v>19</v>
      </c>
      <c r="C37" t="s">
        <v>53</v>
      </c>
      <c r="D37" t="s">
        <v>54</v>
      </c>
      <c r="F37" s="3">
        <v>670000</v>
      </c>
      <c r="G37" s="2">
        <v>-670000</v>
      </c>
    </row>
    <row r="38" spans="1:7" x14ac:dyDescent="0.2">
      <c r="A38" s="1">
        <v>244287</v>
      </c>
      <c r="B38" t="s">
        <v>19</v>
      </c>
      <c r="C38" t="s">
        <v>55</v>
      </c>
      <c r="D38" t="s">
        <v>54</v>
      </c>
      <c r="F38" s="3">
        <v>670000</v>
      </c>
      <c r="G38" s="2">
        <v>-1340000</v>
      </c>
    </row>
    <row r="39" spans="1:7" x14ac:dyDescent="0.2">
      <c r="A39" s="1">
        <v>244287</v>
      </c>
      <c r="B39" t="s">
        <v>22</v>
      </c>
      <c r="C39" t="s">
        <v>56</v>
      </c>
      <c r="D39" t="s">
        <v>57</v>
      </c>
      <c r="E39" s="3">
        <v>670000</v>
      </c>
      <c r="G39" s="2">
        <v>-670000</v>
      </c>
    </row>
    <row r="40" spans="1:7" x14ac:dyDescent="0.2">
      <c r="A40" s="1">
        <v>244287</v>
      </c>
      <c r="B40" t="s">
        <v>22</v>
      </c>
      <c r="C40" t="s">
        <v>58</v>
      </c>
      <c r="D40" t="s">
        <v>57</v>
      </c>
      <c r="E40" s="3">
        <v>670000</v>
      </c>
      <c r="G40" s="2">
        <v>0</v>
      </c>
    </row>
    <row r="41" spans="1:7" x14ac:dyDescent="0.2">
      <c r="A41" s="1">
        <v>244288</v>
      </c>
      <c r="B41" t="s">
        <v>19</v>
      </c>
      <c r="C41" t="s">
        <v>59</v>
      </c>
      <c r="D41" t="s">
        <v>60</v>
      </c>
      <c r="F41" s="3">
        <v>599900</v>
      </c>
      <c r="G41" s="2">
        <v>-599900</v>
      </c>
    </row>
    <row r="42" spans="1:7" x14ac:dyDescent="0.2">
      <c r="A42" s="1">
        <v>244288</v>
      </c>
      <c r="B42" t="s">
        <v>19</v>
      </c>
      <c r="C42" t="s">
        <v>61</v>
      </c>
      <c r="D42" t="s">
        <v>62</v>
      </c>
      <c r="F42" s="3">
        <v>899900</v>
      </c>
      <c r="G42" s="2">
        <v>-1499800</v>
      </c>
    </row>
    <row r="43" spans="1:7" x14ac:dyDescent="0.2">
      <c r="A43" s="1">
        <v>244288</v>
      </c>
      <c r="B43" t="s">
        <v>19</v>
      </c>
      <c r="C43" t="s">
        <v>61</v>
      </c>
      <c r="D43" t="s">
        <v>62</v>
      </c>
      <c r="F43" s="3">
        <v>8322.4599999999991</v>
      </c>
      <c r="G43" s="2">
        <v>-1508122.46</v>
      </c>
    </row>
    <row r="44" spans="1:7" x14ac:dyDescent="0.2">
      <c r="A44" s="1">
        <v>244288</v>
      </c>
      <c r="B44" t="s">
        <v>22</v>
      </c>
      <c r="C44" t="s">
        <v>63</v>
      </c>
      <c r="D44" t="s">
        <v>64</v>
      </c>
      <c r="E44" s="3">
        <v>599900</v>
      </c>
      <c r="G44" s="2">
        <v>-908222.46</v>
      </c>
    </row>
    <row r="45" spans="1:7" x14ac:dyDescent="0.2">
      <c r="A45" s="1">
        <v>244288</v>
      </c>
      <c r="B45" t="s">
        <v>22</v>
      </c>
      <c r="C45" t="s">
        <v>65</v>
      </c>
      <c r="D45" t="s">
        <v>66</v>
      </c>
      <c r="E45" s="3">
        <v>899900</v>
      </c>
      <c r="G45" s="2">
        <v>-8322.4599999999991</v>
      </c>
    </row>
    <row r="46" spans="1:7" x14ac:dyDescent="0.2">
      <c r="A46" s="1">
        <v>244288</v>
      </c>
      <c r="B46" t="s">
        <v>22</v>
      </c>
      <c r="C46" t="s">
        <v>65</v>
      </c>
      <c r="D46" t="s">
        <v>66</v>
      </c>
      <c r="E46" s="3">
        <v>8322.4599999999991</v>
      </c>
      <c r="G46" s="2">
        <v>0</v>
      </c>
    </row>
    <row r="47" spans="1:7" x14ac:dyDescent="0.2">
      <c r="A47" s="1">
        <v>244292</v>
      </c>
      <c r="B47" t="s">
        <v>19</v>
      </c>
      <c r="C47" t="s">
        <v>67</v>
      </c>
      <c r="D47" t="s">
        <v>68</v>
      </c>
      <c r="F47" s="3">
        <v>469900</v>
      </c>
      <c r="G47" s="2">
        <v>-469900</v>
      </c>
    </row>
    <row r="48" spans="1:7" x14ac:dyDescent="0.2">
      <c r="A48" s="1">
        <v>244292</v>
      </c>
      <c r="B48" t="s">
        <v>19</v>
      </c>
      <c r="C48" t="s">
        <v>69</v>
      </c>
      <c r="D48" t="s">
        <v>70</v>
      </c>
      <c r="F48" s="11">
        <v>670000</v>
      </c>
      <c r="G48" s="2">
        <v>-1139900</v>
      </c>
    </row>
    <row r="49" spans="1:7" x14ac:dyDescent="0.2">
      <c r="A49" s="1">
        <v>244292</v>
      </c>
      <c r="B49" t="s">
        <v>22</v>
      </c>
      <c r="C49" t="s">
        <v>71</v>
      </c>
      <c r="D49" t="s">
        <v>72</v>
      </c>
      <c r="E49" s="3">
        <v>469900</v>
      </c>
      <c r="G49" s="2">
        <v>-670000</v>
      </c>
    </row>
    <row r="50" spans="1:7" x14ac:dyDescent="0.2">
      <c r="A50" s="1">
        <v>244292</v>
      </c>
      <c r="B50" t="s">
        <v>22</v>
      </c>
      <c r="C50" t="s">
        <v>73</v>
      </c>
      <c r="D50" t="s">
        <v>74</v>
      </c>
      <c r="E50" s="3">
        <v>670000</v>
      </c>
      <c r="G50" s="2">
        <v>0</v>
      </c>
    </row>
    <row r="51" spans="1:7" x14ac:dyDescent="0.2">
      <c r="A51" s="1">
        <v>244294</v>
      </c>
      <c r="B51" t="s">
        <v>19</v>
      </c>
      <c r="C51" t="s">
        <v>75</v>
      </c>
      <c r="D51" t="s">
        <v>76</v>
      </c>
      <c r="F51" s="3">
        <v>609900</v>
      </c>
      <c r="G51" s="2">
        <v>-609900</v>
      </c>
    </row>
    <row r="52" spans="1:7" x14ac:dyDescent="0.2">
      <c r="A52" s="1">
        <v>244294</v>
      </c>
      <c r="B52" t="s">
        <v>22</v>
      </c>
      <c r="C52" t="s">
        <v>77</v>
      </c>
      <c r="D52" t="s">
        <v>78</v>
      </c>
      <c r="E52" s="3">
        <v>609900</v>
      </c>
      <c r="G52" s="2">
        <v>0</v>
      </c>
    </row>
    <row r="53" spans="1:7" x14ac:dyDescent="0.2">
      <c r="A53" s="1">
        <v>244296</v>
      </c>
      <c r="B53" t="s">
        <v>19</v>
      </c>
      <c r="C53" t="s">
        <v>79</v>
      </c>
      <c r="D53" t="s">
        <v>80</v>
      </c>
      <c r="F53" s="3">
        <v>670000</v>
      </c>
      <c r="G53" s="2">
        <v>-670000</v>
      </c>
    </row>
    <row r="54" spans="1:7" x14ac:dyDescent="0.2">
      <c r="A54" s="1">
        <v>244296</v>
      </c>
      <c r="B54" t="s">
        <v>19</v>
      </c>
      <c r="C54" t="s">
        <v>81</v>
      </c>
      <c r="D54" t="s">
        <v>82</v>
      </c>
      <c r="F54" s="3">
        <v>469900</v>
      </c>
      <c r="G54" s="2">
        <v>-1139900</v>
      </c>
    </row>
    <row r="55" spans="1:7" x14ac:dyDescent="0.2">
      <c r="A55" s="1">
        <v>244296</v>
      </c>
      <c r="B55" t="s">
        <v>22</v>
      </c>
      <c r="C55" t="s">
        <v>83</v>
      </c>
      <c r="D55" t="s">
        <v>74</v>
      </c>
      <c r="E55" s="3">
        <v>670000</v>
      </c>
      <c r="G55" s="2">
        <v>-469900</v>
      </c>
    </row>
    <row r="56" spans="1:7" x14ac:dyDescent="0.2">
      <c r="A56" s="1">
        <v>244296</v>
      </c>
      <c r="B56" t="s">
        <v>22</v>
      </c>
      <c r="C56" t="s">
        <v>84</v>
      </c>
      <c r="D56" t="s">
        <v>85</v>
      </c>
      <c r="E56" s="3">
        <v>469900</v>
      </c>
      <c r="G56" s="2">
        <v>0</v>
      </c>
    </row>
    <row r="57" spans="1:7" x14ac:dyDescent="0.2">
      <c r="A57" s="1">
        <v>244300</v>
      </c>
      <c r="B57" t="s">
        <v>19</v>
      </c>
      <c r="C57" t="s">
        <v>86</v>
      </c>
      <c r="D57" t="s">
        <v>87</v>
      </c>
      <c r="F57" s="3">
        <v>670000</v>
      </c>
      <c r="G57" s="2">
        <v>-670000</v>
      </c>
    </row>
    <row r="58" spans="1:7" x14ac:dyDescent="0.2">
      <c r="A58" s="1">
        <v>244300</v>
      </c>
      <c r="B58" t="s">
        <v>22</v>
      </c>
      <c r="C58" t="s">
        <v>88</v>
      </c>
      <c r="D58" t="s">
        <v>74</v>
      </c>
      <c r="E58" s="11">
        <v>670000</v>
      </c>
      <c r="G58" s="2">
        <v>0</v>
      </c>
    </row>
    <row r="59" spans="1:7" x14ac:dyDescent="0.2">
      <c r="A59" s="1">
        <v>244307</v>
      </c>
      <c r="B59" t="s">
        <v>19</v>
      </c>
      <c r="C59" t="s">
        <v>89</v>
      </c>
      <c r="D59" t="s">
        <v>90</v>
      </c>
      <c r="F59" s="3">
        <v>469900</v>
      </c>
      <c r="G59" s="2">
        <v>-469900</v>
      </c>
    </row>
    <row r="60" spans="1:7" x14ac:dyDescent="0.2">
      <c r="A60" s="1">
        <v>244307</v>
      </c>
      <c r="B60" t="s">
        <v>19</v>
      </c>
      <c r="C60" t="s">
        <v>89</v>
      </c>
      <c r="D60" t="s">
        <v>90</v>
      </c>
      <c r="F60" s="3">
        <v>3264.57</v>
      </c>
      <c r="G60" s="2">
        <v>-473164.57</v>
      </c>
    </row>
    <row r="61" spans="1:7" x14ac:dyDescent="0.2">
      <c r="A61" s="1">
        <v>244307</v>
      </c>
      <c r="B61" t="s">
        <v>22</v>
      </c>
      <c r="C61" t="s">
        <v>91</v>
      </c>
      <c r="D61" t="s">
        <v>92</v>
      </c>
      <c r="E61" s="3">
        <v>469900</v>
      </c>
      <c r="G61" s="2">
        <v>-3264.57</v>
      </c>
    </row>
    <row r="62" spans="1:7" x14ac:dyDescent="0.2">
      <c r="A62" s="1">
        <v>244307</v>
      </c>
      <c r="B62" t="s">
        <v>22</v>
      </c>
      <c r="C62" t="s">
        <v>91</v>
      </c>
      <c r="D62" t="s">
        <v>92</v>
      </c>
      <c r="E62" s="3">
        <v>3264.57</v>
      </c>
      <c r="G62" s="2">
        <v>0</v>
      </c>
    </row>
    <row r="63" spans="1:7" x14ac:dyDescent="0.2">
      <c r="A63" s="1">
        <v>244309</v>
      </c>
      <c r="B63" t="s">
        <v>19</v>
      </c>
      <c r="C63" t="s">
        <v>93</v>
      </c>
      <c r="D63" t="s">
        <v>94</v>
      </c>
      <c r="F63" s="3">
        <v>769900</v>
      </c>
      <c r="G63" s="2">
        <v>-769900</v>
      </c>
    </row>
    <row r="64" spans="1:7" x14ac:dyDescent="0.2">
      <c r="A64" s="1">
        <v>244309</v>
      </c>
      <c r="B64" t="s">
        <v>19</v>
      </c>
      <c r="C64" t="s">
        <v>93</v>
      </c>
      <c r="D64" t="s">
        <v>94</v>
      </c>
      <c r="F64" s="3">
        <v>11569.91</v>
      </c>
      <c r="G64" s="2">
        <v>-781469.91</v>
      </c>
    </row>
    <row r="65" spans="1:7" x14ac:dyDescent="0.2">
      <c r="A65" s="1">
        <v>244309</v>
      </c>
      <c r="B65" t="s">
        <v>22</v>
      </c>
      <c r="C65" t="s">
        <v>95</v>
      </c>
      <c r="D65" t="s">
        <v>96</v>
      </c>
      <c r="E65" s="3">
        <v>769900</v>
      </c>
      <c r="G65" s="2">
        <v>-11569.91</v>
      </c>
    </row>
    <row r="66" spans="1:7" x14ac:dyDescent="0.2">
      <c r="A66" s="1">
        <v>244309</v>
      </c>
      <c r="B66" t="s">
        <v>22</v>
      </c>
      <c r="C66" t="s">
        <v>95</v>
      </c>
      <c r="D66" t="s">
        <v>96</v>
      </c>
      <c r="E66" s="3">
        <v>11569.91</v>
      </c>
      <c r="G66" s="2">
        <v>0</v>
      </c>
    </row>
    <row r="67" spans="1:7" x14ac:dyDescent="0.2">
      <c r="A67" s="1">
        <v>244310</v>
      </c>
      <c r="B67" t="s">
        <v>19</v>
      </c>
      <c r="C67" t="s">
        <v>97</v>
      </c>
      <c r="D67" t="s">
        <v>98</v>
      </c>
      <c r="F67" s="3">
        <v>469900</v>
      </c>
      <c r="G67" s="2">
        <v>-469900</v>
      </c>
    </row>
    <row r="68" spans="1:7" x14ac:dyDescent="0.2">
      <c r="A68" s="1">
        <v>244310</v>
      </c>
      <c r="B68" t="s">
        <v>19</v>
      </c>
      <c r="C68" t="s">
        <v>99</v>
      </c>
      <c r="D68" t="s">
        <v>100</v>
      </c>
      <c r="F68" s="3">
        <v>599900</v>
      </c>
      <c r="G68" s="2">
        <v>-1069800</v>
      </c>
    </row>
    <row r="69" spans="1:7" x14ac:dyDescent="0.2">
      <c r="A69" s="1">
        <v>244310</v>
      </c>
      <c r="B69" t="s">
        <v>22</v>
      </c>
      <c r="C69" t="s">
        <v>101</v>
      </c>
      <c r="D69" t="s">
        <v>102</v>
      </c>
      <c r="E69" s="3">
        <v>469900</v>
      </c>
      <c r="G69" s="2">
        <v>-599900</v>
      </c>
    </row>
    <row r="70" spans="1:7" x14ac:dyDescent="0.2">
      <c r="A70" s="1">
        <v>244310</v>
      </c>
      <c r="B70" t="s">
        <v>22</v>
      </c>
      <c r="C70" t="s">
        <v>103</v>
      </c>
      <c r="D70" t="s">
        <v>104</v>
      </c>
      <c r="E70" s="3">
        <v>599900</v>
      </c>
      <c r="G70" s="2">
        <v>0</v>
      </c>
    </row>
    <row r="71" spans="1:7" x14ac:dyDescent="0.2">
      <c r="A71" s="1">
        <v>244314</v>
      </c>
      <c r="B71" t="s">
        <v>19</v>
      </c>
      <c r="C71" t="s">
        <v>105</v>
      </c>
      <c r="D71" t="s">
        <v>106</v>
      </c>
      <c r="F71" s="3">
        <v>2406.4299999999998</v>
      </c>
      <c r="G71" s="2">
        <v>-2406.4299999999998</v>
      </c>
    </row>
    <row r="72" spans="1:7" x14ac:dyDescent="0.2">
      <c r="A72" s="1">
        <v>244314</v>
      </c>
      <c r="B72" t="s">
        <v>19</v>
      </c>
      <c r="C72" t="s">
        <v>105</v>
      </c>
      <c r="D72" t="s">
        <v>106</v>
      </c>
      <c r="F72" s="3">
        <v>619900</v>
      </c>
      <c r="G72" s="2">
        <v>-622306.43000000005</v>
      </c>
    </row>
    <row r="73" spans="1:7" x14ac:dyDescent="0.2">
      <c r="A73" s="1">
        <v>244314</v>
      </c>
      <c r="B73" t="s">
        <v>19</v>
      </c>
      <c r="C73" t="s">
        <v>107</v>
      </c>
      <c r="D73" t="s">
        <v>108</v>
      </c>
      <c r="F73" s="3">
        <v>469900</v>
      </c>
      <c r="G73" s="2">
        <v>-1092206.43</v>
      </c>
    </row>
    <row r="74" spans="1:7" x14ac:dyDescent="0.2">
      <c r="A74" s="1">
        <v>244314</v>
      </c>
      <c r="B74" t="s">
        <v>19</v>
      </c>
      <c r="C74" t="s">
        <v>107</v>
      </c>
      <c r="D74" t="s">
        <v>108</v>
      </c>
      <c r="F74" s="3">
        <v>11087.97</v>
      </c>
      <c r="G74" s="2">
        <v>-1103294.3999999999</v>
      </c>
    </row>
    <row r="75" spans="1:7" x14ac:dyDescent="0.2">
      <c r="A75" s="1">
        <v>244314</v>
      </c>
      <c r="B75" t="s">
        <v>22</v>
      </c>
      <c r="C75" t="s">
        <v>109</v>
      </c>
      <c r="D75" t="s">
        <v>110</v>
      </c>
      <c r="E75" s="3">
        <v>619900</v>
      </c>
      <c r="G75" s="2">
        <v>-483394.4</v>
      </c>
    </row>
    <row r="76" spans="1:7" x14ac:dyDescent="0.2">
      <c r="A76" s="1">
        <v>244314</v>
      </c>
      <c r="B76" t="s">
        <v>22</v>
      </c>
      <c r="C76" t="s">
        <v>109</v>
      </c>
      <c r="D76" t="s">
        <v>110</v>
      </c>
      <c r="E76" s="3">
        <v>2406.4299999999998</v>
      </c>
      <c r="G76" s="2">
        <v>-480987.97</v>
      </c>
    </row>
    <row r="77" spans="1:7" x14ac:dyDescent="0.2">
      <c r="A77" s="1">
        <v>244314</v>
      </c>
      <c r="B77" t="s">
        <v>22</v>
      </c>
      <c r="C77" t="s">
        <v>111</v>
      </c>
      <c r="D77" t="s">
        <v>112</v>
      </c>
      <c r="E77" s="3">
        <v>469900</v>
      </c>
      <c r="G77" s="2">
        <v>-11087.97</v>
      </c>
    </row>
    <row r="78" spans="1:7" x14ac:dyDescent="0.2">
      <c r="A78" s="1">
        <v>244314</v>
      </c>
      <c r="B78" t="s">
        <v>22</v>
      </c>
      <c r="C78" t="s">
        <v>111</v>
      </c>
      <c r="D78" t="s">
        <v>112</v>
      </c>
      <c r="E78" s="3">
        <v>11087.97</v>
      </c>
      <c r="G78" s="2">
        <v>0</v>
      </c>
    </row>
    <row r="79" spans="1:7" x14ac:dyDescent="0.2">
      <c r="A79" s="1">
        <v>244315</v>
      </c>
      <c r="B79" t="s">
        <v>19</v>
      </c>
      <c r="C79" t="s">
        <v>113</v>
      </c>
      <c r="D79" t="s">
        <v>114</v>
      </c>
      <c r="F79" s="3">
        <v>899900</v>
      </c>
      <c r="G79" s="2">
        <v>-899900</v>
      </c>
    </row>
    <row r="80" spans="1:7" x14ac:dyDescent="0.2">
      <c r="A80" s="1">
        <v>244315</v>
      </c>
      <c r="B80" t="s">
        <v>19</v>
      </c>
      <c r="C80" t="s">
        <v>115</v>
      </c>
      <c r="D80" t="s">
        <v>116</v>
      </c>
      <c r="F80" s="3">
        <v>769900</v>
      </c>
      <c r="G80" s="2">
        <v>-1669800</v>
      </c>
    </row>
    <row r="81" spans="1:7" x14ac:dyDescent="0.2">
      <c r="A81" s="1">
        <v>244315</v>
      </c>
      <c r="B81" t="s">
        <v>19</v>
      </c>
      <c r="C81" t="s">
        <v>115</v>
      </c>
      <c r="D81" t="s">
        <v>116</v>
      </c>
      <c r="F81" s="3">
        <v>13651.17</v>
      </c>
      <c r="G81" s="2">
        <v>-1683451.17</v>
      </c>
    </row>
    <row r="82" spans="1:7" x14ac:dyDescent="0.2">
      <c r="A82" s="1">
        <v>244315</v>
      </c>
      <c r="B82" t="s">
        <v>19</v>
      </c>
      <c r="C82" t="s">
        <v>117</v>
      </c>
      <c r="D82" t="s">
        <v>118</v>
      </c>
      <c r="F82" s="3">
        <v>619900</v>
      </c>
      <c r="G82" s="2">
        <v>-2303351.17</v>
      </c>
    </row>
    <row r="83" spans="1:7" x14ac:dyDescent="0.2">
      <c r="A83" s="1">
        <v>244315</v>
      </c>
      <c r="B83" t="s">
        <v>22</v>
      </c>
      <c r="C83" t="s">
        <v>119</v>
      </c>
      <c r="D83" t="s">
        <v>120</v>
      </c>
      <c r="E83" s="3">
        <v>899900</v>
      </c>
      <c r="G83" s="2">
        <v>-1403451.17</v>
      </c>
    </row>
    <row r="84" spans="1:7" x14ac:dyDescent="0.2">
      <c r="A84" s="1">
        <v>244315</v>
      </c>
      <c r="B84" t="s">
        <v>22</v>
      </c>
      <c r="C84" t="s">
        <v>121</v>
      </c>
      <c r="D84" t="s">
        <v>122</v>
      </c>
      <c r="E84" s="3">
        <v>769900</v>
      </c>
      <c r="G84" s="2">
        <v>-633551.17000000004</v>
      </c>
    </row>
    <row r="85" spans="1:7" x14ac:dyDescent="0.2">
      <c r="A85" s="1">
        <v>244315</v>
      </c>
      <c r="B85" t="s">
        <v>22</v>
      </c>
      <c r="C85" t="s">
        <v>121</v>
      </c>
      <c r="D85" t="s">
        <v>122</v>
      </c>
      <c r="E85" s="3">
        <v>13651.17</v>
      </c>
      <c r="G85" s="2">
        <v>-619900</v>
      </c>
    </row>
    <row r="86" spans="1:7" x14ac:dyDescent="0.2">
      <c r="A86" s="1">
        <v>244315</v>
      </c>
      <c r="B86" t="s">
        <v>22</v>
      </c>
      <c r="C86" t="s">
        <v>123</v>
      </c>
      <c r="D86" t="s">
        <v>124</v>
      </c>
      <c r="E86" s="3">
        <v>619900</v>
      </c>
      <c r="G86" s="2">
        <v>0</v>
      </c>
    </row>
    <row r="87" spans="1:7" x14ac:dyDescent="0.2">
      <c r="A87" s="1">
        <v>244316</v>
      </c>
      <c r="B87" t="s">
        <v>19</v>
      </c>
      <c r="C87" t="s">
        <v>332</v>
      </c>
      <c r="D87" t="s">
        <v>126</v>
      </c>
      <c r="F87" s="3">
        <v>469900</v>
      </c>
      <c r="G87" s="2">
        <v>-469900</v>
      </c>
    </row>
    <row r="88" spans="1:7" x14ac:dyDescent="0.2">
      <c r="A88" s="1">
        <v>244316</v>
      </c>
      <c r="B88" t="s">
        <v>19</v>
      </c>
      <c r="C88" t="s">
        <v>332</v>
      </c>
      <c r="D88" t="s">
        <v>126</v>
      </c>
      <c r="F88" s="3">
        <v>7502.84</v>
      </c>
      <c r="G88" s="2">
        <v>-477402.84</v>
      </c>
    </row>
    <row r="89" spans="1:7" x14ac:dyDescent="0.2">
      <c r="A89" s="1">
        <v>244316</v>
      </c>
      <c r="B89" t="s">
        <v>22</v>
      </c>
      <c r="C89" t="s">
        <v>127</v>
      </c>
      <c r="D89" t="s">
        <v>128</v>
      </c>
      <c r="E89" s="3">
        <v>469900</v>
      </c>
      <c r="G89" s="2">
        <v>-7502.84</v>
      </c>
    </row>
    <row r="90" spans="1:7" x14ac:dyDescent="0.2">
      <c r="A90" s="1">
        <v>244317</v>
      </c>
      <c r="B90" t="s">
        <v>22</v>
      </c>
      <c r="C90" t="s">
        <v>129</v>
      </c>
      <c r="D90" t="s">
        <v>130</v>
      </c>
      <c r="E90" s="3">
        <v>599900</v>
      </c>
      <c r="G90" s="2">
        <v>592397.16</v>
      </c>
    </row>
    <row r="91" spans="1:7" x14ac:dyDescent="0.2">
      <c r="A91" s="1">
        <v>244317</v>
      </c>
      <c r="B91" t="s">
        <v>22</v>
      </c>
      <c r="C91" t="s">
        <v>131</v>
      </c>
      <c r="D91" t="s">
        <v>132</v>
      </c>
      <c r="E91" s="3">
        <v>469900</v>
      </c>
      <c r="G91" s="2">
        <v>1062297.1599999999</v>
      </c>
    </row>
    <row r="92" spans="1:7" x14ac:dyDescent="0.2">
      <c r="A92" s="1">
        <v>244317</v>
      </c>
      <c r="B92" t="s">
        <v>22</v>
      </c>
      <c r="C92" t="s">
        <v>133</v>
      </c>
      <c r="D92" t="s">
        <v>134</v>
      </c>
      <c r="E92" s="3">
        <v>599900</v>
      </c>
      <c r="G92" s="2">
        <v>1662197.16</v>
      </c>
    </row>
    <row r="93" spans="1:7" x14ac:dyDescent="0.2">
      <c r="A93" s="1">
        <v>244319</v>
      </c>
      <c r="B93" t="s">
        <v>19</v>
      </c>
      <c r="C93" t="s">
        <v>135</v>
      </c>
      <c r="D93" t="s">
        <v>136</v>
      </c>
      <c r="F93" s="3">
        <v>469900</v>
      </c>
      <c r="G93" s="2">
        <v>1192297.1599999999</v>
      </c>
    </row>
    <row r="94" spans="1:7" x14ac:dyDescent="0.2">
      <c r="A94" s="1">
        <v>244322</v>
      </c>
      <c r="B94" t="s">
        <v>19</v>
      </c>
      <c r="C94" t="s">
        <v>137</v>
      </c>
      <c r="D94" t="s">
        <v>138</v>
      </c>
      <c r="F94" s="3">
        <v>599900</v>
      </c>
      <c r="G94" s="2">
        <v>592397.16</v>
      </c>
    </row>
    <row r="95" spans="1:7" x14ac:dyDescent="0.2">
      <c r="A95" s="1">
        <v>244322</v>
      </c>
      <c r="B95" t="s">
        <v>19</v>
      </c>
      <c r="C95" t="s">
        <v>137</v>
      </c>
      <c r="D95" t="s">
        <v>138</v>
      </c>
      <c r="F95" s="3">
        <v>2707.1</v>
      </c>
      <c r="G95" s="2">
        <v>589690.06000000006</v>
      </c>
    </row>
    <row r="96" spans="1:7" x14ac:dyDescent="0.2">
      <c r="A96" s="1">
        <v>244324</v>
      </c>
      <c r="B96" t="s">
        <v>19</v>
      </c>
      <c r="C96" t="s">
        <v>139</v>
      </c>
      <c r="D96" t="s">
        <v>140</v>
      </c>
      <c r="F96" s="3">
        <v>619900</v>
      </c>
      <c r="G96" s="2">
        <v>-30209.94</v>
      </c>
    </row>
    <row r="97" spans="1:7" x14ac:dyDescent="0.2">
      <c r="A97" s="1">
        <v>244326</v>
      </c>
      <c r="B97" t="s">
        <v>19</v>
      </c>
      <c r="C97" t="s">
        <v>141</v>
      </c>
      <c r="D97" t="s">
        <v>142</v>
      </c>
      <c r="F97" s="3">
        <v>469900</v>
      </c>
      <c r="G97" s="2">
        <v>-500109.94</v>
      </c>
    </row>
    <row r="98" spans="1:7" x14ac:dyDescent="0.2">
      <c r="A98" s="1">
        <v>244327</v>
      </c>
      <c r="B98" t="s">
        <v>19</v>
      </c>
      <c r="C98" t="s">
        <v>143</v>
      </c>
      <c r="D98" t="s">
        <v>144</v>
      </c>
      <c r="F98" s="3">
        <v>469900</v>
      </c>
      <c r="G98" s="2">
        <v>-970009.94</v>
      </c>
    </row>
    <row r="99" spans="1:7" x14ac:dyDescent="0.2">
      <c r="A99" s="1">
        <v>244327</v>
      </c>
      <c r="B99" t="s">
        <v>19</v>
      </c>
      <c r="C99" t="s">
        <v>143</v>
      </c>
      <c r="D99" t="s">
        <v>144</v>
      </c>
      <c r="F99" s="3">
        <v>9309</v>
      </c>
      <c r="G99" s="2">
        <v>-979318.94</v>
      </c>
    </row>
    <row r="100" spans="1:7" x14ac:dyDescent="0.2">
      <c r="A100" s="1">
        <v>244327</v>
      </c>
      <c r="B100" t="s">
        <v>19</v>
      </c>
      <c r="C100" t="s">
        <v>145</v>
      </c>
      <c r="D100" t="s">
        <v>146</v>
      </c>
      <c r="F100" s="3">
        <v>599900</v>
      </c>
      <c r="G100" s="2">
        <v>-1579218.94</v>
      </c>
    </row>
    <row r="101" spans="1:7" x14ac:dyDescent="0.2">
      <c r="A101" s="1">
        <v>244327</v>
      </c>
      <c r="B101" t="s">
        <v>19</v>
      </c>
      <c r="C101" t="s">
        <v>145</v>
      </c>
      <c r="D101" t="s">
        <v>146</v>
      </c>
      <c r="F101" s="3">
        <v>13327.92</v>
      </c>
      <c r="G101" s="2">
        <v>-1592546.86</v>
      </c>
    </row>
    <row r="102" spans="1:7" x14ac:dyDescent="0.2">
      <c r="A102" s="1">
        <v>244327</v>
      </c>
      <c r="B102" t="s">
        <v>19</v>
      </c>
      <c r="C102" t="s">
        <v>147</v>
      </c>
      <c r="D102" t="s">
        <v>148</v>
      </c>
      <c r="F102" s="3">
        <v>769900</v>
      </c>
      <c r="G102" s="2">
        <v>-2362446.86</v>
      </c>
    </row>
    <row r="103" spans="1:7" x14ac:dyDescent="0.2">
      <c r="A103" s="1">
        <v>244327</v>
      </c>
      <c r="B103" t="s">
        <v>19</v>
      </c>
      <c r="C103" t="s">
        <v>147</v>
      </c>
      <c r="D103" t="s">
        <v>148</v>
      </c>
      <c r="F103" s="3">
        <v>3658.33</v>
      </c>
      <c r="G103" s="2">
        <v>-2366105.19</v>
      </c>
    </row>
    <row r="104" spans="1:7" x14ac:dyDescent="0.2">
      <c r="A104" s="1">
        <v>244327</v>
      </c>
      <c r="B104" t="s">
        <v>19</v>
      </c>
      <c r="C104" t="s">
        <v>149</v>
      </c>
      <c r="D104" t="s">
        <v>150</v>
      </c>
      <c r="F104" s="3">
        <v>469900</v>
      </c>
      <c r="G104" s="2">
        <v>-2836005.19</v>
      </c>
    </row>
    <row r="105" spans="1:7" x14ac:dyDescent="0.2">
      <c r="A105" s="1">
        <v>244327</v>
      </c>
      <c r="B105" t="s">
        <v>19</v>
      </c>
      <c r="C105" t="s">
        <v>149</v>
      </c>
      <c r="D105" t="s">
        <v>150</v>
      </c>
      <c r="F105" s="3">
        <v>10335.129999999999</v>
      </c>
      <c r="G105" s="2">
        <v>-2846340.32</v>
      </c>
    </row>
    <row r="106" spans="1:7" x14ac:dyDescent="0.2">
      <c r="A106" s="1">
        <v>244330</v>
      </c>
      <c r="B106" t="s">
        <v>19</v>
      </c>
      <c r="C106" t="s">
        <v>151</v>
      </c>
      <c r="D106" t="s">
        <v>152</v>
      </c>
      <c r="F106" s="3">
        <v>899900</v>
      </c>
      <c r="G106" s="2">
        <v>-3746240.32</v>
      </c>
    </row>
    <row r="107" spans="1:7" x14ac:dyDescent="0.2">
      <c r="A107" s="1">
        <v>244331</v>
      </c>
      <c r="B107" t="s">
        <v>19</v>
      </c>
      <c r="C107" t="s">
        <v>153</v>
      </c>
      <c r="D107" t="s">
        <v>154</v>
      </c>
      <c r="F107" s="3">
        <v>619900</v>
      </c>
      <c r="G107" s="2">
        <v>-4366140.32</v>
      </c>
    </row>
    <row r="108" spans="1:7" x14ac:dyDescent="0.2">
      <c r="A108" s="1">
        <v>244333</v>
      </c>
      <c r="B108" t="s">
        <v>19</v>
      </c>
      <c r="C108" t="s">
        <v>155</v>
      </c>
      <c r="D108" t="s">
        <v>156</v>
      </c>
      <c r="F108" s="3">
        <v>599900</v>
      </c>
      <c r="G108" s="2">
        <v>-4966040.32</v>
      </c>
    </row>
    <row r="109" spans="1:7" x14ac:dyDescent="0.2">
      <c r="A109" s="1">
        <v>244334</v>
      </c>
      <c r="B109" t="s">
        <v>19</v>
      </c>
      <c r="C109" t="s">
        <v>157</v>
      </c>
      <c r="D109" t="s">
        <v>158</v>
      </c>
      <c r="F109" s="3">
        <v>599900</v>
      </c>
      <c r="G109" s="2">
        <v>-5565940.3200000003</v>
      </c>
    </row>
    <row r="110" spans="1:7" x14ac:dyDescent="0.2">
      <c r="A110" s="1">
        <v>244334</v>
      </c>
      <c r="B110" t="s">
        <v>19</v>
      </c>
      <c r="C110" t="s">
        <v>157</v>
      </c>
      <c r="D110" t="s">
        <v>158</v>
      </c>
      <c r="F110" s="3">
        <v>2406.4299999999998</v>
      </c>
      <c r="G110" s="2">
        <v>-5568346.75</v>
      </c>
    </row>
    <row r="111" spans="1:7" x14ac:dyDescent="0.2">
      <c r="A111" s="1">
        <v>244334</v>
      </c>
      <c r="B111" t="s">
        <v>19</v>
      </c>
      <c r="C111" t="s">
        <v>159</v>
      </c>
      <c r="D111" t="s">
        <v>160</v>
      </c>
      <c r="F111" s="3">
        <v>869900</v>
      </c>
      <c r="G111" s="2">
        <v>-6438246.75</v>
      </c>
    </row>
    <row r="112" spans="1:7" x14ac:dyDescent="0.2">
      <c r="A112" s="1">
        <v>244334</v>
      </c>
      <c r="B112" t="s">
        <v>19</v>
      </c>
      <c r="C112" t="s">
        <v>161</v>
      </c>
      <c r="D112" t="s">
        <v>162</v>
      </c>
      <c r="F112" s="3">
        <v>899900</v>
      </c>
      <c r="G112" s="2">
        <v>-7338146.75</v>
      </c>
    </row>
    <row r="113" spans="1:7" x14ac:dyDescent="0.2">
      <c r="A113" s="1">
        <v>244334</v>
      </c>
      <c r="B113" t="s">
        <v>19</v>
      </c>
      <c r="C113" t="s">
        <v>161</v>
      </c>
      <c r="D113" t="s">
        <v>162</v>
      </c>
      <c r="F113" s="3">
        <v>9478.06</v>
      </c>
      <c r="G113" s="2">
        <v>-7347624.8099999996</v>
      </c>
    </row>
    <row r="114" spans="1:7" x14ac:dyDescent="0.2">
      <c r="A114" s="1">
        <v>244334</v>
      </c>
      <c r="B114" t="s">
        <v>19</v>
      </c>
      <c r="C114" t="s">
        <v>163</v>
      </c>
      <c r="D114" t="s">
        <v>164</v>
      </c>
      <c r="F114" s="3">
        <v>769900</v>
      </c>
      <c r="G114" s="2">
        <v>-8117524.8099999996</v>
      </c>
    </row>
    <row r="115" spans="1:7" x14ac:dyDescent="0.2">
      <c r="A115" s="1">
        <v>244334</v>
      </c>
      <c r="B115" t="s">
        <v>19</v>
      </c>
      <c r="C115" t="s">
        <v>163</v>
      </c>
      <c r="D115" t="s">
        <v>164</v>
      </c>
      <c r="F115" s="3">
        <v>14272.52</v>
      </c>
      <c r="G115" s="2">
        <v>-8131797.3300000001</v>
      </c>
    </row>
    <row r="116" spans="1:7" x14ac:dyDescent="0.2">
      <c r="A116" s="1">
        <v>244335</v>
      </c>
      <c r="B116" t="s">
        <v>19</v>
      </c>
      <c r="C116" t="s">
        <v>165</v>
      </c>
      <c r="D116" t="s">
        <v>166</v>
      </c>
      <c r="F116" s="3">
        <v>896900</v>
      </c>
      <c r="G116" s="2">
        <v>-9028697.3300000001</v>
      </c>
    </row>
    <row r="117" spans="1:7" x14ac:dyDescent="0.2">
      <c r="A117" s="1">
        <v>244335</v>
      </c>
      <c r="B117" t="s">
        <v>19</v>
      </c>
      <c r="C117" t="s">
        <v>167</v>
      </c>
      <c r="D117" t="s">
        <v>168</v>
      </c>
      <c r="F117" s="3">
        <v>9470.57</v>
      </c>
      <c r="G117" s="2">
        <v>-9038167.9000000004</v>
      </c>
    </row>
    <row r="118" spans="1:7" x14ac:dyDescent="0.2">
      <c r="A118" s="1">
        <v>244335</v>
      </c>
      <c r="B118" t="s">
        <v>19</v>
      </c>
      <c r="C118" t="s">
        <v>167</v>
      </c>
      <c r="D118" t="s">
        <v>168</v>
      </c>
      <c r="F118" s="3">
        <v>599900</v>
      </c>
      <c r="G118" s="2">
        <v>-9638067.9000000004</v>
      </c>
    </row>
    <row r="119" spans="1:7" x14ac:dyDescent="0.2">
      <c r="A119" s="1">
        <v>244336</v>
      </c>
      <c r="B119" t="s">
        <v>19</v>
      </c>
      <c r="C119" t="s">
        <v>169</v>
      </c>
      <c r="D119" t="s">
        <v>170</v>
      </c>
      <c r="F119" s="3">
        <v>589900</v>
      </c>
      <c r="G119" s="2">
        <v>-10227967.9</v>
      </c>
    </row>
    <row r="120" spans="1:7" x14ac:dyDescent="0.2">
      <c r="A120" s="1">
        <v>244336</v>
      </c>
      <c r="B120" t="s">
        <v>19</v>
      </c>
      <c r="C120" t="s">
        <v>171</v>
      </c>
      <c r="D120" t="s">
        <v>172</v>
      </c>
      <c r="F120" s="3">
        <v>899900</v>
      </c>
      <c r="G120" s="2">
        <v>-11127867.9</v>
      </c>
    </row>
    <row r="121" spans="1:7" x14ac:dyDescent="0.2">
      <c r="A121" s="1">
        <v>244336</v>
      </c>
      <c r="B121" t="s">
        <v>19</v>
      </c>
      <c r="C121" t="s">
        <v>171</v>
      </c>
      <c r="D121" t="s">
        <v>172</v>
      </c>
      <c r="F121" s="3">
        <v>17909.66</v>
      </c>
      <c r="G121" s="2">
        <v>-11145777.560000001</v>
      </c>
    </row>
    <row r="122" spans="1:7" x14ac:dyDescent="0.2">
      <c r="A122" s="1">
        <v>244337</v>
      </c>
      <c r="B122" t="s">
        <v>19</v>
      </c>
      <c r="C122" t="s">
        <v>173</v>
      </c>
      <c r="D122" t="s">
        <v>174</v>
      </c>
      <c r="F122" s="3">
        <v>866900</v>
      </c>
      <c r="G122" s="2">
        <v>-12012677.560000001</v>
      </c>
    </row>
    <row r="123" spans="1:7" x14ac:dyDescent="0.2">
      <c r="A123" s="1">
        <v>244337</v>
      </c>
      <c r="B123" t="s">
        <v>19</v>
      </c>
      <c r="C123" t="s">
        <v>175</v>
      </c>
      <c r="D123" t="s">
        <v>176</v>
      </c>
      <c r="F123" s="3">
        <v>616900</v>
      </c>
      <c r="G123" s="2">
        <v>-12629577.560000001</v>
      </c>
    </row>
    <row r="124" spans="1:7" x14ac:dyDescent="0.2">
      <c r="A124" s="1">
        <v>244337</v>
      </c>
      <c r="B124" t="s">
        <v>19</v>
      </c>
      <c r="C124" t="s">
        <v>177</v>
      </c>
      <c r="D124" t="s">
        <v>178</v>
      </c>
      <c r="F124" s="3">
        <v>619900</v>
      </c>
      <c r="G124" s="2">
        <v>-13249477.560000001</v>
      </c>
    </row>
    <row r="125" spans="1:7" x14ac:dyDescent="0.2">
      <c r="A125" s="1">
        <v>244337</v>
      </c>
      <c r="B125" t="s">
        <v>19</v>
      </c>
      <c r="C125" t="s">
        <v>177</v>
      </c>
      <c r="D125" t="s">
        <v>178</v>
      </c>
      <c r="F125" s="3">
        <v>2406.4299999999998</v>
      </c>
      <c r="G125" s="2">
        <v>-13251883.99</v>
      </c>
    </row>
    <row r="126" spans="1:7" x14ac:dyDescent="0.2">
      <c r="A126" s="1">
        <v>244337</v>
      </c>
      <c r="B126" t="s">
        <v>19</v>
      </c>
      <c r="C126" t="s">
        <v>179</v>
      </c>
      <c r="D126" t="s">
        <v>180</v>
      </c>
      <c r="F126" s="3">
        <v>599900</v>
      </c>
      <c r="G126" s="2">
        <v>-13851783.99</v>
      </c>
    </row>
    <row r="127" spans="1:7" x14ac:dyDescent="0.2">
      <c r="A127" s="1">
        <v>244337</v>
      </c>
      <c r="B127" t="s">
        <v>19</v>
      </c>
      <c r="C127" t="s">
        <v>179</v>
      </c>
      <c r="D127" t="s">
        <v>180</v>
      </c>
      <c r="F127" s="3">
        <v>8395.2199999999993</v>
      </c>
      <c r="G127" s="2">
        <v>-13860179.210000001</v>
      </c>
    </row>
    <row r="128" spans="1:7" x14ac:dyDescent="0.2">
      <c r="A128" s="1">
        <v>244337</v>
      </c>
      <c r="B128" t="s">
        <v>19</v>
      </c>
      <c r="C128" t="s">
        <v>181</v>
      </c>
      <c r="D128" t="s">
        <v>182</v>
      </c>
      <c r="F128" s="3">
        <v>619900</v>
      </c>
      <c r="G128" s="2">
        <v>-14480079.210000001</v>
      </c>
    </row>
    <row r="129" spans="1:7" x14ac:dyDescent="0.2">
      <c r="A129" s="1">
        <v>244337</v>
      </c>
      <c r="B129" t="s">
        <v>19</v>
      </c>
      <c r="C129" t="s">
        <v>181</v>
      </c>
      <c r="D129" t="s">
        <v>182</v>
      </c>
      <c r="F129" s="3">
        <v>10845.52</v>
      </c>
      <c r="G129" s="2">
        <v>-14490924.73</v>
      </c>
    </row>
    <row r="130" spans="1:7" x14ac:dyDescent="0.2">
      <c r="A130" s="1">
        <v>244337</v>
      </c>
      <c r="B130" t="s">
        <v>19</v>
      </c>
      <c r="C130" t="s">
        <v>183</v>
      </c>
      <c r="D130" t="s">
        <v>184</v>
      </c>
      <c r="F130" s="3">
        <v>469900</v>
      </c>
      <c r="G130" s="2">
        <v>-14960824.73</v>
      </c>
    </row>
    <row r="131" spans="1:7" x14ac:dyDescent="0.2">
      <c r="A131" s="1">
        <v>244337</v>
      </c>
      <c r="B131" t="s">
        <v>19</v>
      </c>
      <c r="C131" t="s">
        <v>183</v>
      </c>
      <c r="D131" t="s">
        <v>184</v>
      </c>
      <c r="F131" s="3">
        <v>9199.66</v>
      </c>
      <c r="G131" s="2">
        <v>-14970024.390000001</v>
      </c>
    </row>
    <row r="132" spans="1:7" x14ac:dyDescent="0.2">
      <c r="A132" s="1">
        <v>244338</v>
      </c>
      <c r="B132" t="s">
        <v>19</v>
      </c>
      <c r="C132" t="s">
        <v>185</v>
      </c>
      <c r="D132" t="s">
        <v>186</v>
      </c>
      <c r="F132" s="3">
        <v>599900</v>
      </c>
      <c r="G132" s="2">
        <v>-15569924.390000001</v>
      </c>
    </row>
    <row r="133" spans="1:7" x14ac:dyDescent="0.2">
      <c r="A133" s="1">
        <v>244340</v>
      </c>
      <c r="B133" t="s">
        <v>19</v>
      </c>
      <c r="C133" t="s">
        <v>187</v>
      </c>
      <c r="D133" t="s">
        <v>188</v>
      </c>
      <c r="F133" s="3">
        <v>614900</v>
      </c>
      <c r="G133" s="2">
        <v>-16184824.390000001</v>
      </c>
    </row>
    <row r="134" spans="1:7" x14ac:dyDescent="0.2">
      <c r="A134" s="1">
        <v>244340</v>
      </c>
      <c r="B134" t="s">
        <v>19</v>
      </c>
      <c r="C134" t="s">
        <v>189</v>
      </c>
      <c r="D134" t="s">
        <v>190</v>
      </c>
      <c r="F134" s="3">
        <v>599900</v>
      </c>
      <c r="G134" s="2">
        <v>-16784724.390000001</v>
      </c>
    </row>
    <row r="135" spans="1:7" x14ac:dyDescent="0.2">
      <c r="A135" s="1">
        <v>244340</v>
      </c>
      <c r="B135" t="s">
        <v>19</v>
      </c>
      <c r="C135" t="s">
        <v>191</v>
      </c>
      <c r="D135" t="s">
        <v>480</v>
      </c>
      <c r="F135" s="3">
        <v>899900</v>
      </c>
      <c r="G135" s="2">
        <v>-17684624.390000001</v>
      </c>
    </row>
    <row r="136" spans="1:7" x14ac:dyDescent="0.2">
      <c r="A136" s="1">
        <v>244340</v>
      </c>
      <c r="B136" t="s">
        <v>19</v>
      </c>
      <c r="C136" t="s">
        <v>191</v>
      </c>
      <c r="D136" t="s">
        <v>480</v>
      </c>
      <c r="F136" s="3">
        <v>2865.14</v>
      </c>
      <c r="G136" s="2">
        <v>-17687489.530000001</v>
      </c>
    </row>
    <row r="137" spans="1:7" x14ac:dyDescent="0.2">
      <c r="A137" s="1">
        <v>244340</v>
      </c>
      <c r="B137" t="s">
        <v>19</v>
      </c>
      <c r="C137" t="s">
        <v>193</v>
      </c>
      <c r="D137" t="s">
        <v>194</v>
      </c>
      <c r="F137" s="3">
        <v>769900</v>
      </c>
      <c r="G137" s="2">
        <v>-18457389.530000001</v>
      </c>
    </row>
    <row r="138" spans="1:7" x14ac:dyDescent="0.2">
      <c r="A138" s="1">
        <v>244340</v>
      </c>
      <c r="B138" t="s">
        <v>19</v>
      </c>
      <c r="C138" t="s">
        <v>193</v>
      </c>
      <c r="D138" t="s">
        <v>194</v>
      </c>
      <c r="F138" s="3">
        <v>13785.88</v>
      </c>
      <c r="G138" s="2">
        <v>-18471175.41</v>
      </c>
    </row>
    <row r="139" spans="1:7" x14ac:dyDescent="0.2">
      <c r="A139" s="1">
        <v>244340</v>
      </c>
      <c r="B139" t="s">
        <v>19</v>
      </c>
      <c r="C139" t="s">
        <v>195</v>
      </c>
      <c r="D139" t="s">
        <v>196</v>
      </c>
      <c r="F139" s="3">
        <v>899900</v>
      </c>
      <c r="G139" s="2">
        <v>-19371075.41</v>
      </c>
    </row>
    <row r="140" spans="1:7" x14ac:dyDescent="0.2">
      <c r="A140" s="1">
        <v>244340</v>
      </c>
      <c r="B140" t="s">
        <v>19</v>
      </c>
      <c r="C140" t="s">
        <v>195</v>
      </c>
      <c r="D140" t="s">
        <v>196</v>
      </c>
      <c r="F140" s="3">
        <v>23105.58</v>
      </c>
      <c r="G140" s="2">
        <v>-19394180.989999998</v>
      </c>
    </row>
    <row r="141" spans="1:7" x14ac:dyDescent="0.2">
      <c r="A141" s="1">
        <v>244340</v>
      </c>
      <c r="B141" t="s">
        <v>19</v>
      </c>
      <c r="C141" t="s">
        <v>197</v>
      </c>
      <c r="D141" t="s">
        <v>198</v>
      </c>
      <c r="F141" s="3">
        <v>469900</v>
      </c>
      <c r="G141" s="2">
        <v>-19864080.989999998</v>
      </c>
    </row>
    <row r="142" spans="1:7" x14ac:dyDescent="0.2">
      <c r="A142" s="1">
        <v>244340</v>
      </c>
      <c r="B142" t="s">
        <v>19</v>
      </c>
      <c r="C142" t="s">
        <v>197</v>
      </c>
      <c r="D142" t="s">
        <v>198</v>
      </c>
      <c r="F142" s="3">
        <v>9557.24</v>
      </c>
      <c r="G142" s="2">
        <v>-19873638.23</v>
      </c>
    </row>
    <row r="143" spans="1:7" x14ac:dyDescent="0.2">
      <c r="A143" s="1">
        <v>244341</v>
      </c>
      <c r="B143" t="s">
        <v>19</v>
      </c>
      <c r="C143" t="s">
        <v>199</v>
      </c>
      <c r="D143" t="s">
        <v>200</v>
      </c>
      <c r="F143" s="3">
        <v>674900</v>
      </c>
      <c r="G143" s="2">
        <v>-20548538.23</v>
      </c>
    </row>
    <row r="144" spans="1:7" x14ac:dyDescent="0.2">
      <c r="A144" s="1">
        <v>244341</v>
      </c>
      <c r="B144" t="s">
        <v>19</v>
      </c>
      <c r="C144" t="s">
        <v>201</v>
      </c>
      <c r="D144" t="s">
        <v>202</v>
      </c>
      <c r="F144" s="3">
        <v>899900</v>
      </c>
      <c r="G144" s="2">
        <v>-21448438.23</v>
      </c>
    </row>
    <row r="145" spans="1:7" x14ac:dyDescent="0.2">
      <c r="A145" s="1">
        <v>244341</v>
      </c>
      <c r="B145" t="s">
        <v>19</v>
      </c>
      <c r="C145" t="s">
        <v>201</v>
      </c>
      <c r="D145" t="s">
        <v>202</v>
      </c>
      <c r="F145" s="3">
        <v>11226.88</v>
      </c>
      <c r="G145" s="2">
        <v>-21459665.109999999</v>
      </c>
    </row>
    <row r="146" spans="1:7" x14ac:dyDescent="0.2">
      <c r="A146" s="1">
        <v>244341</v>
      </c>
      <c r="B146" t="s">
        <v>19</v>
      </c>
      <c r="C146" t="s">
        <v>203</v>
      </c>
      <c r="D146" t="s">
        <v>204</v>
      </c>
      <c r="F146" s="3">
        <v>829900</v>
      </c>
      <c r="G146" s="2">
        <v>-22289565.109999999</v>
      </c>
    </row>
    <row r="147" spans="1:7" x14ac:dyDescent="0.2">
      <c r="A147" s="1">
        <v>244341</v>
      </c>
      <c r="B147" t="s">
        <v>19</v>
      </c>
      <c r="C147" t="s">
        <v>203</v>
      </c>
      <c r="D147" t="s">
        <v>204</v>
      </c>
      <c r="F147" s="3">
        <v>14360.47</v>
      </c>
      <c r="G147" s="2">
        <v>-22303925.579999998</v>
      </c>
    </row>
    <row r="148" spans="1:7" x14ac:dyDescent="0.2">
      <c r="A148" s="1">
        <v>244342</v>
      </c>
      <c r="B148" t="s">
        <v>19</v>
      </c>
      <c r="C148" t="s">
        <v>205</v>
      </c>
      <c r="D148" t="s">
        <v>206</v>
      </c>
      <c r="F148" s="3">
        <v>469900</v>
      </c>
      <c r="G148" s="2">
        <v>-22773825.579999998</v>
      </c>
    </row>
    <row r="149" spans="1:7" x14ac:dyDescent="0.2">
      <c r="A149" s="1">
        <v>244342</v>
      </c>
      <c r="B149" t="s">
        <v>19</v>
      </c>
      <c r="C149" t="s">
        <v>205</v>
      </c>
      <c r="D149" t="s">
        <v>206</v>
      </c>
      <c r="F149" s="3">
        <v>7977.36</v>
      </c>
      <c r="G149" s="2">
        <v>-22781802.940000001</v>
      </c>
    </row>
    <row r="150" spans="1:7" x14ac:dyDescent="0.2">
      <c r="A150" s="1">
        <v>244342</v>
      </c>
      <c r="B150" t="s">
        <v>19</v>
      </c>
      <c r="C150" t="s">
        <v>207</v>
      </c>
      <c r="D150" t="s">
        <v>208</v>
      </c>
      <c r="F150" s="3">
        <v>899900</v>
      </c>
      <c r="G150" s="2">
        <v>-23681702.940000001</v>
      </c>
    </row>
    <row r="151" spans="1:7" x14ac:dyDescent="0.2">
      <c r="A151" s="1">
        <v>244342</v>
      </c>
      <c r="B151" t="s">
        <v>19</v>
      </c>
      <c r="C151" t="s">
        <v>207</v>
      </c>
      <c r="D151" t="s">
        <v>208</v>
      </c>
      <c r="F151" s="3">
        <v>12844.28</v>
      </c>
      <c r="G151" s="2">
        <v>-23694547.219999999</v>
      </c>
    </row>
    <row r="152" spans="1:7" x14ac:dyDescent="0.2">
      <c r="A152" s="1">
        <v>244342</v>
      </c>
      <c r="B152" t="s">
        <v>19</v>
      </c>
      <c r="C152" t="s">
        <v>209</v>
      </c>
      <c r="D152" t="s">
        <v>210</v>
      </c>
      <c r="F152" s="3">
        <v>619900</v>
      </c>
      <c r="G152" s="2">
        <v>-24314447.219999999</v>
      </c>
    </row>
    <row r="153" spans="1:7" x14ac:dyDescent="0.2">
      <c r="A153" s="1">
        <v>244342</v>
      </c>
      <c r="B153" t="s">
        <v>19</v>
      </c>
      <c r="C153" t="s">
        <v>209</v>
      </c>
      <c r="D153" t="s">
        <v>210</v>
      </c>
      <c r="F153" s="3">
        <v>10845.52</v>
      </c>
      <c r="G153" s="2">
        <v>-24325292.739999998</v>
      </c>
    </row>
    <row r="154" spans="1:7" x14ac:dyDescent="0.2">
      <c r="A154" s="1">
        <v>244344</v>
      </c>
      <c r="B154" t="s">
        <v>19</v>
      </c>
      <c r="C154" t="s">
        <v>211</v>
      </c>
      <c r="D154" t="s">
        <v>212</v>
      </c>
      <c r="F154" s="3">
        <v>769900</v>
      </c>
      <c r="G154" s="2">
        <v>-25095192.739999998</v>
      </c>
    </row>
    <row r="155" spans="1:7" x14ac:dyDescent="0.2">
      <c r="A155" s="1">
        <v>244344</v>
      </c>
      <c r="B155" t="s">
        <v>19</v>
      </c>
      <c r="C155" t="s">
        <v>211</v>
      </c>
      <c r="D155" t="s">
        <v>212</v>
      </c>
      <c r="F155" s="3">
        <v>3473.79</v>
      </c>
      <c r="G155" s="2">
        <v>-25098666.530000001</v>
      </c>
    </row>
    <row r="156" spans="1:7" x14ac:dyDescent="0.2">
      <c r="A156" s="1">
        <v>244344</v>
      </c>
      <c r="B156" t="s">
        <v>19</v>
      </c>
      <c r="C156" t="s">
        <v>213</v>
      </c>
      <c r="D156" t="s">
        <v>214</v>
      </c>
      <c r="F156" s="3">
        <v>599900</v>
      </c>
      <c r="G156" s="2">
        <v>-25698566.530000001</v>
      </c>
    </row>
    <row r="157" spans="1:7" x14ac:dyDescent="0.2">
      <c r="A157" s="1">
        <v>244344</v>
      </c>
      <c r="B157" t="s">
        <v>19</v>
      </c>
      <c r="C157" t="s">
        <v>213</v>
      </c>
      <c r="D157" t="s">
        <v>214</v>
      </c>
      <c r="F157" s="3">
        <v>8257.19</v>
      </c>
      <c r="G157" s="2">
        <v>-25706823.719999999</v>
      </c>
    </row>
    <row r="158" spans="1:7" x14ac:dyDescent="0.2">
      <c r="A158" s="1">
        <v>244345</v>
      </c>
      <c r="B158" t="s">
        <v>19</v>
      </c>
      <c r="C158" t="s">
        <v>215</v>
      </c>
      <c r="D158" t="s">
        <v>216</v>
      </c>
      <c r="F158" s="3">
        <v>899900</v>
      </c>
      <c r="G158" s="2">
        <v>-26606723.719999999</v>
      </c>
    </row>
    <row r="159" spans="1:7" x14ac:dyDescent="0.2">
      <c r="A159" s="1">
        <v>244345</v>
      </c>
      <c r="B159" t="s">
        <v>19</v>
      </c>
      <c r="C159" t="s">
        <v>217</v>
      </c>
      <c r="D159" t="s">
        <v>218</v>
      </c>
      <c r="F159" s="3">
        <v>1249000</v>
      </c>
      <c r="G159" s="2">
        <v>-27855723.719999999</v>
      </c>
    </row>
    <row r="160" spans="1:7" x14ac:dyDescent="0.2">
      <c r="A160" s="1">
        <v>244347</v>
      </c>
      <c r="B160" t="s">
        <v>19</v>
      </c>
      <c r="C160" t="s">
        <v>219</v>
      </c>
      <c r="D160" t="s">
        <v>220</v>
      </c>
      <c r="F160" s="3">
        <v>599900</v>
      </c>
      <c r="G160" s="2">
        <v>-28455623.719999999</v>
      </c>
    </row>
    <row r="161" spans="1:7" x14ac:dyDescent="0.2">
      <c r="A161" s="1">
        <v>244347</v>
      </c>
      <c r="B161" t="s">
        <v>19</v>
      </c>
      <c r="C161" t="s">
        <v>219</v>
      </c>
      <c r="D161" t="s">
        <v>220</v>
      </c>
      <c r="F161" s="3">
        <v>2526.27</v>
      </c>
      <c r="G161" s="2">
        <v>-28458149.989999998</v>
      </c>
    </row>
    <row r="162" spans="1:7" x14ac:dyDescent="0.2">
      <c r="A162" s="1">
        <v>244347</v>
      </c>
      <c r="B162" t="s">
        <v>19</v>
      </c>
      <c r="C162" t="s">
        <v>221</v>
      </c>
      <c r="D162" t="s">
        <v>222</v>
      </c>
      <c r="F162" s="3">
        <v>619900</v>
      </c>
      <c r="G162" s="2">
        <v>-29078049.989999998</v>
      </c>
    </row>
    <row r="163" spans="1:7" x14ac:dyDescent="0.2">
      <c r="A163" s="1">
        <v>244347</v>
      </c>
      <c r="B163" t="s">
        <v>19</v>
      </c>
      <c r="C163" t="s">
        <v>221</v>
      </c>
      <c r="D163" t="s">
        <v>222</v>
      </c>
      <c r="F163" s="3">
        <v>2553.02</v>
      </c>
      <c r="G163" s="2">
        <v>-29080603.010000002</v>
      </c>
    </row>
    <row r="164" spans="1:7" x14ac:dyDescent="0.2">
      <c r="A164" s="1">
        <v>244347</v>
      </c>
      <c r="B164" t="s">
        <v>19</v>
      </c>
      <c r="C164" t="s">
        <v>223</v>
      </c>
      <c r="D164" t="s">
        <v>224</v>
      </c>
      <c r="F164" s="3">
        <v>899900</v>
      </c>
      <c r="G164" s="2">
        <v>-29980503.010000002</v>
      </c>
    </row>
    <row r="165" spans="1:7" x14ac:dyDescent="0.2">
      <c r="A165" s="1">
        <v>244347</v>
      </c>
      <c r="B165" t="s">
        <v>19</v>
      </c>
      <c r="C165" t="s">
        <v>223</v>
      </c>
      <c r="D165" t="s">
        <v>224</v>
      </c>
      <c r="F165" s="3">
        <v>21938.21</v>
      </c>
      <c r="G165" s="2">
        <v>-30002441.219999999</v>
      </c>
    </row>
    <row r="166" spans="1:7" x14ac:dyDescent="0.2">
      <c r="A166" s="1">
        <v>244347</v>
      </c>
      <c r="B166" t="s">
        <v>19</v>
      </c>
      <c r="C166" t="s">
        <v>225</v>
      </c>
      <c r="D166" t="s">
        <v>226</v>
      </c>
      <c r="F166" s="3">
        <v>899900</v>
      </c>
      <c r="G166" s="2">
        <v>-30902341.219999999</v>
      </c>
    </row>
    <row r="167" spans="1:7" x14ac:dyDescent="0.2">
      <c r="A167" s="1">
        <v>244347</v>
      </c>
      <c r="B167" t="s">
        <v>19</v>
      </c>
      <c r="C167" t="s">
        <v>225</v>
      </c>
      <c r="D167" t="s">
        <v>226</v>
      </c>
      <c r="F167" s="3">
        <v>14787.34</v>
      </c>
      <c r="G167" s="2">
        <v>-30917128.559999999</v>
      </c>
    </row>
    <row r="168" spans="1:7" x14ac:dyDescent="0.2">
      <c r="A168" s="1">
        <v>244347</v>
      </c>
      <c r="B168" t="s">
        <v>19</v>
      </c>
      <c r="C168" t="s">
        <v>227</v>
      </c>
      <c r="D168" t="s">
        <v>228</v>
      </c>
      <c r="F168" s="3">
        <v>769900</v>
      </c>
      <c r="G168" s="2">
        <v>-31687028.559999999</v>
      </c>
    </row>
    <row r="169" spans="1:7" x14ac:dyDescent="0.2">
      <c r="A169" s="1">
        <v>244347</v>
      </c>
      <c r="B169" t="s">
        <v>19</v>
      </c>
      <c r="C169" t="s">
        <v>227</v>
      </c>
      <c r="D169" t="s">
        <v>228</v>
      </c>
      <c r="F169" s="3">
        <v>12120.94</v>
      </c>
      <c r="G169" s="2">
        <v>-31699149.5</v>
      </c>
    </row>
    <row r="170" spans="1:7" x14ac:dyDescent="0.2">
      <c r="A170" s="1">
        <v>244348</v>
      </c>
      <c r="B170" t="s">
        <v>19</v>
      </c>
      <c r="C170" t="s">
        <v>229</v>
      </c>
      <c r="D170" t="s">
        <v>230</v>
      </c>
      <c r="F170" s="3">
        <v>769900</v>
      </c>
      <c r="G170" s="2">
        <v>-32469049.5</v>
      </c>
    </row>
    <row r="171" spans="1:7" x14ac:dyDescent="0.2">
      <c r="A171" s="1">
        <v>244348</v>
      </c>
      <c r="B171" t="s">
        <v>19</v>
      </c>
      <c r="C171" t="s">
        <v>229</v>
      </c>
      <c r="D171" t="s">
        <v>230</v>
      </c>
      <c r="F171" s="3">
        <v>2933.57</v>
      </c>
      <c r="G171" s="2">
        <v>-32471983.07</v>
      </c>
    </row>
    <row r="172" spans="1:7" x14ac:dyDescent="0.2">
      <c r="A172" s="1">
        <v>244348</v>
      </c>
      <c r="B172" t="s">
        <v>19</v>
      </c>
      <c r="C172" t="s">
        <v>231</v>
      </c>
      <c r="D172" t="s">
        <v>232</v>
      </c>
      <c r="F172" s="3">
        <v>619900</v>
      </c>
      <c r="G172" s="2">
        <v>-33091883.07</v>
      </c>
    </row>
    <row r="173" spans="1:7" x14ac:dyDescent="0.2">
      <c r="A173" s="1">
        <v>244348</v>
      </c>
      <c r="B173" t="s">
        <v>19</v>
      </c>
      <c r="C173" t="s">
        <v>231</v>
      </c>
      <c r="D173" t="s">
        <v>232</v>
      </c>
      <c r="F173" s="3">
        <v>9539.2000000000007</v>
      </c>
      <c r="G173" s="2">
        <v>-33101422.27</v>
      </c>
    </row>
    <row r="174" spans="1:7" x14ac:dyDescent="0.2">
      <c r="A174" s="1">
        <v>244348</v>
      </c>
      <c r="B174" t="s">
        <v>19</v>
      </c>
      <c r="C174" t="s">
        <v>233</v>
      </c>
      <c r="D174" t="s">
        <v>234</v>
      </c>
      <c r="F174" s="3">
        <v>769900</v>
      </c>
      <c r="G174" s="2">
        <v>-33871322.270000003</v>
      </c>
    </row>
    <row r="175" spans="1:7" x14ac:dyDescent="0.2">
      <c r="A175" s="1">
        <v>244348</v>
      </c>
      <c r="B175" t="s">
        <v>19</v>
      </c>
      <c r="C175" t="s">
        <v>233</v>
      </c>
      <c r="D175" t="s">
        <v>234</v>
      </c>
      <c r="F175" s="3">
        <v>13666.97</v>
      </c>
      <c r="G175" s="2">
        <v>-33884989.240000002</v>
      </c>
    </row>
    <row r="176" spans="1:7" x14ac:dyDescent="0.2">
      <c r="A176" s="1">
        <v>244348</v>
      </c>
      <c r="B176" t="s">
        <v>19</v>
      </c>
      <c r="C176" t="s">
        <v>235</v>
      </c>
      <c r="D176" t="s">
        <v>236</v>
      </c>
      <c r="F176" s="3">
        <v>699900</v>
      </c>
      <c r="G176" s="2">
        <v>-34584889.240000002</v>
      </c>
    </row>
    <row r="177" spans="1:7" x14ac:dyDescent="0.2">
      <c r="A177" s="1">
        <v>244348</v>
      </c>
      <c r="B177" t="s">
        <v>19</v>
      </c>
      <c r="C177" t="s">
        <v>235</v>
      </c>
      <c r="D177" t="s">
        <v>236</v>
      </c>
      <c r="F177" s="3">
        <v>13235.9</v>
      </c>
      <c r="G177" s="2">
        <v>-34598125.140000001</v>
      </c>
    </row>
    <row r="178" spans="1:7" x14ac:dyDescent="0.2">
      <c r="A178" s="1">
        <v>244348</v>
      </c>
      <c r="B178" t="s">
        <v>19</v>
      </c>
      <c r="C178" t="s">
        <v>237</v>
      </c>
      <c r="D178" t="s">
        <v>238</v>
      </c>
      <c r="F178" s="3">
        <v>619900</v>
      </c>
      <c r="G178" s="2">
        <v>-35218025.140000001</v>
      </c>
    </row>
    <row r="179" spans="1:7" x14ac:dyDescent="0.2">
      <c r="A179" s="1">
        <v>244348</v>
      </c>
      <c r="B179" t="s">
        <v>19</v>
      </c>
      <c r="C179" t="s">
        <v>237</v>
      </c>
      <c r="D179" t="s">
        <v>238</v>
      </c>
      <c r="F179" s="3">
        <v>2945.71</v>
      </c>
      <c r="G179" s="2">
        <v>-35220970.850000001</v>
      </c>
    </row>
    <row r="180" spans="1:7" x14ac:dyDescent="0.2">
      <c r="A180" s="1">
        <v>244348</v>
      </c>
      <c r="B180" t="s">
        <v>19</v>
      </c>
      <c r="C180" t="s">
        <v>239</v>
      </c>
      <c r="D180" t="s">
        <v>240</v>
      </c>
      <c r="F180" s="3">
        <v>1249000</v>
      </c>
      <c r="G180" s="2">
        <v>-36469970.850000001</v>
      </c>
    </row>
    <row r="181" spans="1:7" x14ac:dyDescent="0.2">
      <c r="A181" s="1">
        <v>244348</v>
      </c>
      <c r="B181" t="s">
        <v>19</v>
      </c>
      <c r="C181" t="s">
        <v>239</v>
      </c>
      <c r="D181" t="s">
        <v>240</v>
      </c>
      <c r="F181" s="3">
        <v>18371.900000000001</v>
      </c>
      <c r="G181" s="2">
        <v>-36488342.75</v>
      </c>
    </row>
    <row r="182" spans="1:7" x14ac:dyDescent="0.2">
      <c r="A182" s="1">
        <v>244348</v>
      </c>
      <c r="B182" t="s">
        <v>19</v>
      </c>
      <c r="C182" t="s">
        <v>241</v>
      </c>
      <c r="D182" t="s">
        <v>242</v>
      </c>
      <c r="F182" s="10">
        <v>13000</v>
      </c>
      <c r="G182" s="2">
        <v>-36501342.75</v>
      </c>
    </row>
    <row r="183" spans="1:7" x14ac:dyDescent="0.2">
      <c r="A183" s="1">
        <v>244348</v>
      </c>
      <c r="B183" t="s">
        <v>19</v>
      </c>
      <c r="C183" t="s">
        <v>241</v>
      </c>
      <c r="D183" t="s">
        <v>243</v>
      </c>
      <c r="F183" s="10">
        <v>121985</v>
      </c>
      <c r="G183" s="2">
        <v>-36623327.75</v>
      </c>
    </row>
    <row r="184" spans="1:7" x14ac:dyDescent="0.2">
      <c r="A184" s="1">
        <v>244348</v>
      </c>
      <c r="B184" t="s">
        <v>19</v>
      </c>
      <c r="C184" t="s">
        <v>244</v>
      </c>
      <c r="D184" t="s">
        <v>245</v>
      </c>
      <c r="F184" s="10">
        <v>83340</v>
      </c>
      <c r="G184" s="2">
        <v>-36706667.75</v>
      </c>
    </row>
    <row r="185" spans="1:7" x14ac:dyDescent="0.2">
      <c r="A185" s="1">
        <v>244348</v>
      </c>
      <c r="B185" t="s">
        <v>19</v>
      </c>
      <c r="C185" t="s">
        <v>244</v>
      </c>
      <c r="D185" t="s">
        <v>246</v>
      </c>
      <c r="F185" s="10">
        <v>187861</v>
      </c>
      <c r="G185" s="2">
        <v>-36894528.75</v>
      </c>
    </row>
    <row r="186" spans="1:7" x14ac:dyDescent="0.2">
      <c r="A186" s="1">
        <v>244348</v>
      </c>
      <c r="B186" t="s">
        <v>19</v>
      </c>
      <c r="C186" t="s">
        <v>244</v>
      </c>
      <c r="D186" t="s">
        <v>247</v>
      </c>
      <c r="F186" s="10">
        <v>3980</v>
      </c>
      <c r="G186" s="2">
        <v>-36898508.75</v>
      </c>
    </row>
    <row r="187" spans="1:7" x14ac:dyDescent="0.2">
      <c r="A187" s="1">
        <v>244348</v>
      </c>
      <c r="B187" t="s">
        <v>19</v>
      </c>
      <c r="C187" t="s">
        <v>244</v>
      </c>
      <c r="D187" t="s">
        <v>248</v>
      </c>
      <c r="F187" s="10">
        <v>185970</v>
      </c>
      <c r="G187" s="2">
        <v>-37084478.75</v>
      </c>
    </row>
    <row r="188" spans="1:7" x14ac:dyDescent="0.2">
      <c r="A188" s="1">
        <v>244348</v>
      </c>
      <c r="B188" t="s">
        <v>19</v>
      </c>
      <c r="C188" t="s">
        <v>244</v>
      </c>
      <c r="D188" t="s">
        <v>249</v>
      </c>
      <c r="F188" s="10">
        <v>449950</v>
      </c>
      <c r="G188" s="2">
        <v>-37534428.75</v>
      </c>
    </row>
    <row r="189" spans="1:7" x14ac:dyDescent="0.2">
      <c r="A189" s="1">
        <v>244348</v>
      </c>
      <c r="B189" t="s">
        <v>22</v>
      </c>
      <c r="C189" t="s">
        <v>250</v>
      </c>
      <c r="D189" t="s">
        <v>251</v>
      </c>
      <c r="E189" s="3">
        <v>469900</v>
      </c>
      <c r="G189" s="2">
        <v>-37064528.75</v>
      </c>
    </row>
    <row r="190" spans="1:7" x14ac:dyDescent="0.2">
      <c r="A190" s="1">
        <v>244348</v>
      </c>
      <c r="B190" t="s">
        <v>22</v>
      </c>
      <c r="C190" t="s">
        <v>250</v>
      </c>
      <c r="D190" t="s">
        <v>252</v>
      </c>
      <c r="E190" s="3">
        <v>469900</v>
      </c>
      <c r="G190" s="2">
        <v>-36594628.75</v>
      </c>
    </row>
    <row r="191" spans="1:7" x14ac:dyDescent="0.2">
      <c r="A191" s="1">
        <v>244348</v>
      </c>
      <c r="B191" t="s">
        <v>22</v>
      </c>
      <c r="C191" t="s">
        <v>250</v>
      </c>
      <c r="D191" t="s">
        <v>253</v>
      </c>
      <c r="E191" s="3">
        <v>469900</v>
      </c>
      <c r="G191" s="2">
        <v>-36124728.75</v>
      </c>
    </row>
    <row r="192" spans="1:7" x14ac:dyDescent="0.2">
      <c r="A192" s="1">
        <v>244348</v>
      </c>
      <c r="B192" t="s">
        <v>22</v>
      </c>
      <c r="C192" t="s">
        <v>250</v>
      </c>
      <c r="D192" t="s">
        <v>254</v>
      </c>
      <c r="E192" s="3">
        <v>469900</v>
      </c>
      <c r="G192" s="2">
        <v>-35654828.75</v>
      </c>
    </row>
    <row r="193" spans="1:7" x14ac:dyDescent="0.2">
      <c r="A193" s="1">
        <v>244348</v>
      </c>
      <c r="B193" t="s">
        <v>22</v>
      </c>
      <c r="C193" t="s">
        <v>250</v>
      </c>
      <c r="D193" t="s">
        <v>255</v>
      </c>
      <c r="E193" s="3">
        <v>469900</v>
      </c>
      <c r="G193" s="2">
        <v>-35184928.75</v>
      </c>
    </row>
    <row r="194" spans="1:7" x14ac:dyDescent="0.2">
      <c r="A194" s="1">
        <v>244348</v>
      </c>
      <c r="B194" t="s">
        <v>22</v>
      </c>
      <c r="C194" t="s">
        <v>250</v>
      </c>
      <c r="D194" t="s">
        <v>256</v>
      </c>
      <c r="E194" s="3">
        <v>469900</v>
      </c>
      <c r="G194" s="2">
        <v>-34715028.75</v>
      </c>
    </row>
    <row r="195" spans="1:7" x14ac:dyDescent="0.2">
      <c r="A195" s="1">
        <v>244348</v>
      </c>
      <c r="B195" t="s">
        <v>22</v>
      </c>
      <c r="C195" t="s">
        <v>250</v>
      </c>
      <c r="D195" t="s">
        <v>257</v>
      </c>
      <c r="E195" s="3">
        <v>599900</v>
      </c>
      <c r="G195" s="2">
        <v>-34115128.75</v>
      </c>
    </row>
    <row r="196" spans="1:7" x14ac:dyDescent="0.2">
      <c r="A196" s="1">
        <v>244348</v>
      </c>
      <c r="B196" t="s">
        <v>22</v>
      </c>
      <c r="C196" t="s">
        <v>250</v>
      </c>
      <c r="D196" t="s">
        <v>258</v>
      </c>
      <c r="E196" s="3">
        <v>599900</v>
      </c>
      <c r="G196" s="2">
        <v>-33515228.75</v>
      </c>
    </row>
    <row r="197" spans="1:7" x14ac:dyDescent="0.2">
      <c r="A197" s="1">
        <v>244348</v>
      </c>
      <c r="B197" t="s">
        <v>22</v>
      </c>
      <c r="C197" t="s">
        <v>250</v>
      </c>
      <c r="D197" t="s">
        <v>259</v>
      </c>
      <c r="E197" s="3">
        <v>599900</v>
      </c>
      <c r="G197" s="2">
        <v>-32915328.75</v>
      </c>
    </row>
    <row r="198" spans="1:7" x14ac:dyDescent="0.2">
      <c r="A198" s="1">
        <v>244348</v>
      </c>
      <c r="B198" t="s">
        <v>22</v>
      </c>
      <c r="C198" t="s">
        <v>250</v>
      </c>
      <c r="D198" t="s">
        <v>260</v>
      </c>
      <c r="E198" s="3">
        <v>599900</v>
      </c>
      <c r="G198" s="2">
        <v>-32315428.75</v>
      </c>
    </row>
    <row r="199" spans="1:7" x14ac:dyDescent="0.2">
      <c r="A199" s="1">
        <v>244348</v>
      </c>
      <c r="B199" t="s">
        <v>22</v>
      </c>
      <c r="C199" t="s">
        <v>250</v>
      </c>
      <c r="D199" t="s">
        <v>261</v>
      </c>
      <c r="E199" s="3">
        <v>599900</v>
      </c>
      <c r="G199" s="2">
        <v>-31715528.75</v>
      </c>
    </row>
    <row r="200" spans="1:7" x14ac:dyDescent="0.2">
      <c r="A200" s="1">
        <v>244348</v>
      </c>
      <c r="B200" t="s">
        <v>22</v>
      </c>
      <c r="C200" t="s">
        <v>250</v>
      </c>
      <c r="D200" t="s">
        <v>262</v>
      </c>
      <c r="E200" s="10">
        <v>599900</v>
      </c>
      <c r="G200" s="2">
        <v>-31115628.75</v>
      </c>
    </row>
    <row r="201" spans="1:7" x14ac:dyDescent="0.2">
      <c r="A201" s="1">
        <v>244348</v>
      </c>
      <c r="B201" t="s">
        <v>22</v>
      </c>
      <c r="C201" t="s">
        <v>250</v>
      </c>
      <c r="D201" t="s">
        <v>263</v>
      </c>
      <c r="E201" s="3">
        <v>599900</v>
      </c>
      <c r="G201" s="2">
        <v>-30515728.75</v>
      </c>
    </row>
    <row r="202" spans="1:7" x14ac:dyDescent="0.2">
      <c r="A202" s="1">
        <v>244348</v>
      </c>
      <c r="B202" t="s">
        <v>22</v>
      </c>
      <c r="C202" t="s">
        <v>250</v>
      </c>
      <c r="D202" t="s">
        <v>264</v>
      </c>
      <c r="E202" s="3">
        <v>599900</v>
      </c>
      <c r="G202" s="2">
        <v>-29915828.75</v>
      </c>
    </row>
    <row r="203" spans="1:7" x14ac:dyDescent="0.2">
      <c r="A203" s="1">
        <v>244348</v>
      </c>
      <c r="B203" t="s">
        <v>22</v>
      </c>
      <c r="C203" t="s">
        <v>250</v>
      </c>
      <c r="D203" t="s">
        <v>265</v>
      </c>
      <c r="E203" s="3">
        <v>599900</v>
      </c>
      <c r="G203" s="2">
        <v>-29315928.75</v>
      </c>
    </row>
    <row r="204" spans="1:7" x14ac:dyDescent="0.2">
      <c r="A204" s="1">
        <v>244348</v>
      </c>
      <c r="B204" t="s">
        <v>22</v>
      </c>
      <c r="C204" t="s">
        <v>266</v>
      </c>
      <c r="D204" t="s">
        <v>267</v>
      </c>
      <c r="E204" s="10">
        <v>899900</v>
      </c>
      <c r="G204" s="2">
        <v>-28416028.75</v>
      </c>
    </row>
    <row r="205" spans="1:7" x14ac:dyDescent="0.2">
      <c r="A205" s="1">
        <v>244348</v>
      </c>
      <c r="B205" t="s">
        <v>22</v>
      </c>
      <c r="C205" t="s">
        <v>266</v>
      </c>
      <c r="D205" t="s">
        <v>268</v>
      </c>
      <c r="E205" s="3">
        <v>899900</v>
      </c>
      <c r="G205" s="2">
        <v>-27516128.75</v>
      </c>
    </row>
    <row r="206" spans="1:7" x14ac:dyDescent="0.2">
      <c r="A206" s="1">
        <v>244348</v>
      </c>
      <c r="B206" t="s">
        <v>22</v>
      </c>
      <c r="C206" t="s">
        <v>266</v>
      </c>
      <c r="D206" t="s">
        <v>269</v>
      </c>
      <c r="E206" s="3">
        <v>899900</v>
      </c>
      <c r="G206" s="2">
        <v>-26616228.75</v>
      </c>
    </row>
    <row r="207" spans="1:7" x14ac:dyDescent="0.2">
      <c r="A207" s="1">
        <v>244348</v>
      </c>
      <c r="B207" t="s">
        <v>22</v>
      </c>
      <c r="C207" t="s">
        <v>266</v>
      </c>
      <c r="D207" t="s">
        <v>270</v>
      </c>
      <c r="E207" s="3">
        <v>899900</v>
      </c>
      <c r="G207" s="2">
        <v>-25716328.75</v>
      </c>
    </row>
    <row r="208" spans="1:7" x14ac:dyDescent="0.2">
      <c r="A208" s="1">
        <v>244348</v>
      </c>
      <c r="B208" t="s">
        <v>22</v>
      </c>
      <c r="C208" t="s">
        <v>266</v>
      </c>
      <c r="D208" t="s">
        <v>271</v>
      </c>
      <c r="E208" s="3">
        <v>899900</v>
      </c>
      <c r="G208" s="2">
        <v>-24816428.75</v>
      </c>
    </row>
    <row r="209" spans="1:7" x14ac:dyDescent="0.2">
      <c r="A209" s="1">
        <v>244348</v>
      </c>
      <c r="B209" t="s">
        <v>22</v>
      </c>
      <c r="C209" t="s">
        <v>266</v>
      </c>
      <c r="D209" t="s">
        <v>272</v>
      </c>
      <c r="E209" s="3">
        <v>899900</v>
      </c>
      <c r="G209" s="2">
        <v>-23916528.75</v>
      </c>
    </row>
    <row r="210" spans="1:7" x14ac:dyDescent="0.2">
      <c r="A210" s="1">
        <v>244348</v>
      </c>
      <c r="B210" t="s">
        <v>22</v>
      </c>
      <c r="C210" t="s">
        <v>266</v>
      </c>
      <c r="D210" t="s">
        <v>273</v>
      </c>
      <c r="E210" s="3">
        <v>899900</v>
      </c>
      <c r="G210" s="2">
        <v>-23016628.75</v>
      </c>
    </row>
    <row r="211" spans="1:7" x14ac:dyDescent="0.2">
      <c r="A211" s="1">
        <v>244348</v>
      </c>
      <c r="B211" t="s">
        <v>22</v>
      </c>
      <c r="C211" t="s">
        <v>266</v>
      </c>
      <c r="D211" t="s">
        <v>274</v>
      </c>
      <c r="E211" s="3">
        <v>899900</v>
      </c>
      <c r="G211" s="2">
        <v>-22116728.75</v>
      </c>
    </row>
    <row r="212" spans="1:7" x14ac:dyDescent="0.2">
      <c r="A212" s="1">
        <v>244348</v>
      </c>
      <c r="B212" t="s">
        <v>22</v>
      </c>
      <c r="C212" t="s">
        <v>266</v>
      </c>
      <c r="D212" t="s">
        <v>275</v>
      </c>
      <c r="E212" s="10">
        <v>899900</v>
      </c>
      <c r="G212" s="2">
        <v>-21216828.75</v>
      </c>
    </row>
    <row r="213" spans="1:7" x14ac:dyDescent="0.2">
      <c r="A213" s="1">
        <v>244348</v>
      </c>
      <c r="B213" t="s">
        <v>22</v>
      </c>
      <c r="C213" t="s">
        <v>266</v>
      </c>
      <c r="D213" t="s">
        <v>276</v>
      </c>
      <c r="E213" s="3">
        <v>899900</v>
      </c>
      <c r="G213" s="2">
        <v>-20316928.75</v>
      </c>
    </row>
    <row r="214" spans="1:7" x14ac:dyDescent="0.2">
      <c r="A214" s="1">
        <v>244348</v>
      </c>
      <c r="B214" t="s">
        <v>22</v>
      </c>
      <c r="C214" t="s">
        <v>266</v>
      </c>
      <c r="D214" t="s">
        <v>277</v>
      </c>
      <c r="E214" s="3">
        <v>899900</v>
      </c>
      <c r="G214" s="2">
        <v>-19417028.75</v>
      </c>
    </row>
    <row r="215" spans="1:7" x14ac:dyDescent="0.2">
      <c r="A215" s="1">
        <v>244348</v>
      </c>
      <c r="B215" t="s">
        <v>22</v>
      </c>
      <c r="C215" t="s">
        <v>266</v>
      </c>
      <c r="D215" t="s">
        <v>278</v>
      </c>
      <c r="E215" s="3">
        <v>899900</v>
      </c>
      <c r="G215" s="2">
        <v>-18517128.75</v>
      </c>
    </row>
    <row r="216" spans="1:7" x14ac:dyDescent="0.2">
      <c r="A216" s="1">
        <v>244348</v>
      </c>
      <c r="B216" t="s">
        <v>22</v>
      </c>
      <c r="C216" t="s">
        <v>266</v>
      </c>
      <c r="D216" t="s">
        <v>279</v>
      </c>
      <c r="E216" s="3">
        <v>899900</v>
      </c>
      <c r="G216" s="2">
        <v>-17617228.75</v>
      </c>
    </row>
    <row r="217" spans="1:7" x14ac:dyDescent="0.2">
      <c r="A217" s="1">
        <v>244348</v>
      </c>
      <c r="B217" t="s">
        <v>22</v>
      </c>
      <c r="C217" t="s">
        <v>266</v>
      </c>
      <c r="D217" t="s">
        <v>280</v>
      </c>
      <c r="E217" s="3">
        <v>869900</v>
      </c>
      <c r="G217" s="2">
        <v>-16747328.75</v>
      </c>
    </row>
    <row r="218" spans="1:7" x14ac:dyDescent="0.2">
      <c r="A218" s="1">
        <v>244348</v>
      </c>
      <c r="B218" t="s">
        <v>22</v>
      </c>
      <c r="C218" t="s">
        <v>266</v>
      </c>
      <c r="D218" t="s">
        <v>281</v>
      </c>
      <c r="E218" s="3">
        <v>896900</v>
      </c>
      <c r="G218" s="2">
        <v>-15850428.75</v>
      </c>
    </row>
    <row r="219" spans="1:7" x14ac:dyDescent="0.2">
      <c r="A219" s="1">
        <v>244348</v>
      </c>
      <c r="B219" t="s">
        <v>22</v>
      </c>
      <c r="C219" t="s">
        <v>266</v>
      </c>
      <c r="D219" t="s">
        <v>282</v>
      </c>
      <c r="E219" s="3">
        <v>866900</v>
      </c>
      <c r="G219" s="2">
        <v>-14983528.75</v>
      </c>
    </row>
    <row r="220" spans="1:7" x14ac:dyDescent="0.2">
      <c r="A220" s="1">
        <v>244348</v>
      </c>
      <c r="B220" t="s">
        <v>22</v>
      </c>
      <c r="C220" t="s">
        <v>266</v>
      </c>
      <c r="D220" t="s">
        <v>283</v>
      </c>
      <c r="E220" s="3">
        <v>899900</v>
      </c>
      <c r="G220" s="2">
        <v>-14083628.75</v>
      </c>
    </row>
    <row r="221" spans="1:7" x14ac:dyDescent="0.2">
      <c r="A221" s="1">
        <v>244348</v>
      </c>
      <c r="B221" t="s">
        <v>22</v>
      </c>
      <c r="C221" t="s">
        <v>284</v>
      </c>
      <c r="D221" t="s">
        <v>285</v>
      </c>
      <c r="E221" s="3">
        <v>619900</v>
      </c>
      <c r="G221" s="2">
        <v>-13463728.75</v>
      </c>
    </row>
    <row r="222" spans="1:7" x14ac:dyDescent="0.2">
      <c r="A222" s="1">
        <v>244348</v>
      </c>
      <c r="B222" t="s">
        <v>22</v>
      </c>
      <c r="C222" t="s">
        <v>284</v>
      </c>
      <c r="D222" t="s">
        <v>286</v>
      </c>
      <c r="E222" s="3">
        <v>769900</v>
      </c>
      <c r="G222" s="2">
        <v>-12693828.75</v>
      </c>
    </row>
    <row r="223" spans="1:7" x14ac:dyDescent="0.2">
      <c r="A223" s="1">
        <v>244348</v>
      </c>
      <c r="B223" t="s">
        <v>22</v>
      </c>
      <c r="C223" t="s">
        <v>284</v>
      </c>
      <c r="D223" t="s">
        <v>287</v>
      </c>
      <c r="E223" s="3">
        <v>619900</v>
      </c>
      <c r="G223" s="2">
        <v>-12073928.75</v>
      </c>
    </row>
    <row r="224" spans="1:7" x14ac:dyDescent="0.2">
      <c r="A224" s="1">
        <v>244348</v>
      </c>
      <c r="B224" t="s">
        <v>22</v>
      </c>
      <c r="C224" t="s">
        <v>284</v>
      </c>
      <c r="D224" t="s">
        <v>288</v>
      </c>
      <c r="E224" s="3">
        <v>769900</v>
      </c>
      <c r="G224" s="2">
        <v>-11304028.75</v>
      </c>
    </row>
    <row r="225" spans="1:7" x14ac:dyDescent="0.2">
      <c r="A225" s="1">
        <v>244348</v>
      </c>
      <c r="B225" t="s">
        <v>22</v>
      </c>
      <c r="C225" t="s">
        <v>284</v>
      </c>
      <c r="D225" t="s">
        <v>289</v>
      </c>
      <c r="E225" s="3">
        <v>769900</v>
      </c>
      <c r="G225" s="2">
        <v>-10534128.75</v>
      </c>
    </row>
    <row r="226" spans="1:7" x14ac:dyDescent="0.2">
      <c r="A226" s="1">
        <v>244348</v>
      </c>
      <c r="B226" t="s">
        <v>22</v>
      </c>
      <c r="C226" t="s">
        <v>284</v>
      </c>
      <c r="D226" t="s">
        <v>290</v>
      </c>
      <c r="E226" s="3">
        <v>769900</v>
      </c>
      <c r="G226" s="2">
        <v>-9764228.75</v>
      </c>
    </row>
    <row r="227" spans="1:7" x14ac:dyDescent="0.2">
      <c r="A227" s="1">
        <v>244348</v>
      </c>
      <c r="B227" t="s">
        <v>22</v>
      </c>
      <c r="C227" t="s">
        <v>284</v>
      </c>
      <c r="D227" t="s">
        <v>291</v>
      </c>
      <c r="E227" s="3">
        <v>619900</v>
      </c>
      <c r="G227" s="2">
        <v>-9144328.75</v>
      </c>
    </row>
    <row r="228" spans="1:7" x14ac:dyDescent="0.2">
      <c r="A228" s="1">
        <v>244348</v>
      </c>
      <c r="B228" t="s">
        <v>22</v>
      </c>
      <c r="C228" t="s">
        <v>284</v>
      </c>
      <c r="D228" t="s">
        <v>292</v>
      </c>
      <c r="E228" s="3">
        <v>769900</v>
      </c>
      <c r="G228" s="2">
        <v>-8374428.75</v>
      </c>
    </row>
    <row r="229" spans="1:7" x14ac:dyDescent="0.2">
      <c r="A229" s="1">
        <v>244348</v>
      </c>
      <c r="B229" t="s">
        <v>22</v>
      </c>
      <c r="C229" t="s">
        <v>284</v>
      </c>
      <c r="D229" t="s">
        <v>293</v>
      </c>
      <c r="E229" s="3">
        <v>619900</v>
      </c>
      <c r="G229" s="2">
        <v>-7754528.75</v>
      </c>
    </row>
    <row r="230" spans="1:7" x14ac:dyDescent="0.2">
      <c r="A230" s="1">
        <v>244348</v>
      </c>
      <c r="B230" t="s">
        <v>22</v>
      </c>
      <c r="C230" t="s">
        <v>284</v>
      </c>
      <c r="D230" t="s">
        <v>294</v>
      </c>
      <c r="E230" s="3">
        <v>769900</v>
      </c>
      <c r="G230" s="2">
        <v>-6984628.75</v>
      </c>
    </row>
    <row r="231" spans="1:7" x14ac:dyDescent="0.2">
      <c r="A231" s="1">
        <v>244348</v>
      </c>
      <c r="B231" t="s">
        <v>22</v>
      </c>
      <c r="C231" t="s">
        <v>284</v>
      </c>
      <c r="D231" t="s">
        <v>295</v>
      </c>
      <c r="E231" s="3">
        <v>769900</v>
      </c>
      <c r="G231" s="2">
        <v>-6214728.75</v>
      </c>
    </row>
    <row r="232" spans="1:7" x14ac:dyDescent="0.2">
      <c r="A232" s="1">
        <v>244348</v>
      </c>
      <c r="B232" t="s">
        <v>22</v>
      </c>
      <c r="C232" t="s">
        <v>284</v>
      </c>
      <c r="D232" t="s">
        <v>296</v>
      </c>
      <c r="E232" s="3">
        <v>619900</v>
      </c>
      <c r="G232" s="2">
        <v>-5594828.75</v>
      </c>
    </row>
    <row r="233" spans="1:7" x14ac:dyDescent="0.2">
      <c r="A233" s="1">
        <v>244348</v>
      </c>
      <c r="B233" t="s">
        <v>22</v>
      </c>
      <c r="C233" t="s">
        <v>284</v>
      </c>
      <c r="D233" t="s">
        <v>297</v>
      </c>
      <c r="E233" s="3">
        <v>619900</v>
      </c>
      <c r="G233" s="2">
        <v>-4974928.75</v>
      </c>
    </row>
    <row r="234" spans="1:7" x14ac:dyDescent="0.2">
      <c r="A234" s="1">
        <v>244348</v>
      </c>
      <c r="B234" t="s">
        <v>22</v>
      </c>
      <c r="C234" t="s">
        <v>284</v>
      </c>
      <c r="D234" t="s">
        <v>298</v>
      </c>
      <c r="E234" s="3">
        <v>769900</v>
      </c>
      <c r="G234" s="2">
        <v>-4205028.75</v>
      </c>
    </row>
    <row r="235" spans="1:7" x14ac:dyDescent="0.2">
      <c r="A235" s="1">
        <v>244348</v>
      </c>
      <c r="B235" t="s">
        <v>22</v>
      </c>
      <c r="C235" t="s">
        <v>284</v>
      </c>
      <c r="D235" t="s">
        <v>299</v>
      </c>
      <c r="E235" s="3">
        <v>619900</v>
      </c>
      <c r="G235" s="2">
        <v>-3585128.75</v>
      </c>
    </row>
    <row r="236" spans="1:7" x14ac:dyDescent="0.2">
      <c r="A236" s="1">
        <v>244348</v>
      </c>
      <c r="B236" t="s">
        <v>22</v>
      </c>
      <c r="C236" t="s">
        <v>284</v>
      </c>
      <c r="D236" t="s">
        <v>300</v>
      </c>
      <c r="E236" s="10">
        <v>769900</v>
      </c>
      <c r="G236" s="2">
        <v>-2815228.75</v>
      </c>
    </row>
    <row r="237" spans="1:7" x14ac:dyDescent="0.2">
      <c r="A237" s="1">
        <v>244348</v>
      </c>
      <c r="B237" t="s">
        <v>22</v>
      </c>
      <c r="C237" t="s">
        <v>284</v>
      </c>
      <c r="D237" t="s">
        <v>301</v>
      </c>
      <c r="E237" s="10">
        <v>619900</v>
      </c>
      <c r="G237" s="2">
        <v>-2195328.75</v>
      </c>
    </row>
    <row r="238" spans="1:7" x14ac:dyDescent="0.2">
      <c r="A238" s="1">
        <v>244348</v>
      </c>
      <c r="B238" t="s">
        <v>22</v>
      </c>
      <c r="C238" t="s">
        <v>284</v>
      </c>
      <c r="D238" t="s">
        <v>302</v>
      </c>
      <c r="E238" s="3">
        <v>619900</v>
      </c>
      <c r="G238" s="2">
        <v>-1575428.75</v>
      </c>
    </row>
    <row r="239" spans="1:7" x14ac:dyDescent="0.2">
      <c r="A239" s="1">
        <v>244348</v>
      </c>
      <c r="B239" t="s">
        <v>22</v>
      </c>
      <c r="C239" t="s">
        <v>284</v>
      </c>
      <c r="D239" t="s">
        <v>303</v>
      </c>
      <c r="E239" s="3">
        <v>589900</v>
      </c>
      <c r="G239" s="2">
        <v>-985528.75</v>
      </c>
    </row>
    <row r="240" spans="1:7" x14ac:dyDescent="0.2">
      <c r="A240" s="1">
        <v>244348</v>
      </c>
      <c r="B240" t="s">
        <v>22</v>
      </c>
      <c r="C240" t="s">
        <v>284</v>
      </c>
      <c r="D240" t="s">
        <v>304</v>
      </c>
      <c r="E240" s="3">
        <v>616900</v>
      </c>
      <c r="G240" s="2">
        <v>-368628.75</v>
      </c>
    </row>
    <row r="241" spans="1:7" x14ac:dyDescent="0.2">
      <c r="A241" s="1">
        <v>244348</v>
      </c>
      <c r="B241" t="s">
        <v>22</v>
      </c>
      <c r="C241" t="s">
        <v>284</v>
      </c>
      <c r="D241" t="s">
        <v>305</v>
      </c>
      <c r="E241" s="3">
        <v>614900</v>
      </c>
      <c r="G241" s="2">
        <v>246271.25</v>
      </c>
    </row>
    <row r="242" spans="1:7" x14ac:dyDescent="0.2">
      <c r="A242" s="1">
        <v>244348</v>
      </c>
      <c r="B242" t="s">
        <v>22</v>
      </c>
      <c r="C242" t="s">
        <v>306</v>
      </c>
      <c r="D242" t="s">
        <v>307</v>
      </c>
      <c r="E242" s="3">
        <v>829900</v>
      </c>
      <c r="G242" s="2">
        <v>1076171.25</v>
      </c>
    </row>
    <row r="243" spans="1:7" x14ac:dyDescent="0.2">
      <c r="A243" s="1">
        <v>244348</v>
      </c>
      <c r="B243" t="s">
        <v>22</v>
      </c>
      <c r="C243" t="s">
        <v>306</v>
      </c>
      <c r="D243" t="s">
        <v>308</v>
      </c>
      <c r="E243" s="3">
        <v>699900</v>
      </c>
      <c r="G243" s="2">
        <v>1776071.25</v>
      </c>
    </row>
    <row r="244" spans="1:7" x14ac:dyDescent="0.2">
      <c r="A244" s="1">
        <v>244348</v>
      </c>
      <c r="B244" t="s">
        <v>22</v>
      </c>
      <c r="C244" t="s">
        <v>306</v>
      </c>
      <c r="D244" t="s">
        <v>309</v>
      </c>
      <c r="E244" s="10">
        <v>829900</v>
      </c>
      <c r="G244" s="2">
        <v>2605971.25</v>
      </c>
    </row>
    <row r="245" spans="1:7" x14ac:dyDescent="0.2">
      <c r="A245" s="1">
        <v>244348</v>
      </c>
      <c r="B245" t="s">
        <v>22</v>
      </c>
      <c r="C245" t="s">
        <v>306</v>
      </c>
      <c r="D245" t="s">
        <v>310</v>
      </c>
      <c r="E245" s="10">
        <v>829900</v>
      </c>
      <c r="G245" s="2">
        <v>3435871.25</v>
      </c>
    </row>
    <row r="246" spans="1:7" x14ac:dyDescent="0.2">
      <c r="A246" s="1">
        <v>244348</v>
      </c>
      <c r="B246" t="s">
        <v>22</v>
      </c>
      <c r="C246" t="s">
        <v>306</v>
      </c>
      <c r="D246" t="s">
        <v>311</v>
      </c>
      <c r="E246" s="3">
        <v>674900</v>
      </c>
      <c r="G246" s="2">
        <v>4110771.25</v>
      </c>
    </row>
    <row r="247" spans="1:7" x14ac:dyDescent="0.2">
      <c r="A247" s="1">
        <v>244348</v>
      </c>
      <c r="B247" t="s">
        <v>22</v>
      </c>
      <c r="C247" t="s">
        <v>312</v>
      </c>
      <c r="D247" t="s">
        <v>313</v>
      </c>
      <c r="E247" s="3">
        <v>1249000</v>
      </c>
      <c r="G247" s="2">
        <v>5359771.25</v>
      </c>
    </row>
    <row r="248" spans="1:7" x14ac:dyDescent="0.2">
      <c r="A248" s="1">
        <v>244348</v>
      </c>
      <c r="B248" t="s">
        <v>22</v>
      </c>
      <c r="C248" t="s">
        <v>312</v>
      </c>
      <c r="D248" t="s">
        <v>314</v>
      </c>
      <c r="E248" s="3">
        <v>1249000</v>
      </c>
      <c r="G248" s="2">
        <v>6608771.25</v>
      </c>
    </row>
    <row r="249" spans="1:7" x14ac:dyDescent="0.2">
      <c r="A249" s="1">
        <v>244348</v>
      </c>
      <c r="B249" t="s">
        <v>22</v>
      </c>
      <c r="C249" t="s">
        <v>315</v>
      </c>
      <c r="D249" t="s">
        <v>254</v>
      </c>
      <c r="E249" s="3">
        <v>7502.84</v>
      </c>
      <c r="G249" s="2">
        <v>6616274.0899999999</v>
      </c>
    </row>
    <row r="250" spans="1:7" x14ac:dyDescent="0.2">
      <c r="A250" s="1">
        <v>244348</v>
      </c>
      <c r="B250" t="s">
        <v>22</v>
      </c>
      <c r="C250" t="s">
        <v>315</v>
      </c>
      <c r="D250" t="s">
        <v>316</v>
      </c>
      <c r="E250" s="3">
        <v>2707.1</v>
      </c>
      <c r="G250" s="2">
        <v>6618981.1900000004</v>
      </c>
    </row>
    <row r="251" spans="1:7" x14ac:dyDescent="0.2">
      <c r="A251" s="1">
        <v>244348</v>
      </c>
      <c r="B251" t="s">
        <v>22</v>
      </c>
      <c r="C251" t="s">
        <v>315</v>
      </c>
      <c r="D251" t="s">
        <v>255</v>
      </c>
      <c r="E251" s="3">
        <v>9309</v>
      </c>
      <c r="G251" s="2">
        <v>6628290.1900000004</v>
      </c>
    </row>
    <row r="252" spans="1:7" x14ac:dyDescent="0.2">
      <c r="A252" s="1">
        <v>244348</v>
      </c>
      <c r="B252" t="s">
        <v>22</v>
      </c>
      <c r="C252" t="s">
        <v>315</v>
      </c>
      <c r="D252" t="s">
        <v>288</v>
      </c>
      <c r="E252" s="3">
        <v>3658.33</v>
      </c>
      <c r="G252" s="2">
        <v>6631948.5199999996</v>
      </c>
    </row>
    <row r="253" spans="1:7" x14ac:dyDescent="0.2">
      <c r="A253" s="1">
        <v>244348</v>
      </c>
      <c r="B253" t="s">
        <v>22</v>
      </c>
      <c r="C253" t="s">
        <v>315</v>
      </c>
      <c r="D253" t="s">
        <v>257</v>
      </c>
      <c r="E253" s="3">
        <v>13327.92</v>
      </c>
      <c r="G253" s="2">
        <v>6645276.4400000004</v>
      </c>
    </row>
    <row r="254" spans="1:7" x14ac:dyDescent="0.2">
      <c r="A254" s="1">
        <v>244348</v>
      </c>
      <c r="B254" t="s">
        <v>22</v>
      </c>
      <c r="C254" t="s">
        <v>315</v>
      </c>
      <c r="D254" t="s">
        <v>317</v>
      </c>
      <c r="E254" s="3">
        <v>10335.129999999999</v>
      </c>
      <c r="G254" s="2">
        <v>6655611.5700000003</v>
      </c>
    </row>
    <row r="255" spans="1:7" x14ac:dyDescent="0.2">
      <c r="A255" s="1">
        <v>244348</v>
      </c>
      <c r="B255" t="s">
        <v>22</v>
      </c>
      <c r="C255" t="s">
        <v>315</v>
      </c>
      <c r="D255" t="s">
        <v>258</v>
      </c>
      <c r="E255" s="3">
        <v>2406.4299999999998</v>
      </c>
      <c r="G255" s="2">
        <v>6658018</v>
      </c>
    </row>
    <row r="256" spans="1:7" x14ac:dyDescent="0.2">
      <c r="A256" s="1">
        <v>244348</v>
      </c>
      <c r="B256" t="s">
        <v>22</v>
      </c>
      <c r="C256" t="s">
        <v>315</v>
      </c>
      <c r="D256" t="s">
        <v>289</v>
      </c>
      <c r="E256" s="3">
        <v>14272.52</v>
      </c>
      <c r="G256" s="2">
        <v>6672290.5199999996</v>
      </c>
    </row>
    <row r="257" spans="1:7" x14ac:dyDescent="0.2">
      <c r="A257" s="1">
        <v>244348</v>
      </c>
      <c r="B257" t="s">
        <v>22</v>
      </c>
      <c r="C257" t="s">
        <v>315</v>
      </c>
      <c r="D257" t="s">
        <v>268</v>
      </c>
      <c r="E257" s="3">
        <v>9478.06</v>
      </c>
      <c r="G257" s="2">
        <v>6681768.5800000001</v>
      </c>
    </row>
    <row r="258" spans="1:7" x14ac:dyDescent="0.2">
      <c r="A258" s="1">
        <v>244348</v>
      </c>
      <c r="B258" t="s">
        <v>22</v>
      </c>
      <c r="C258" t="s">
        <v>315</v>
      </c>
      <c r="D258" t="s">
        <v>318</v>
      </c>
      <c r="E258" s="3">
        <v>9470.57</v>
      </c>
      <c r="G258" s="2">
        <v>6691239.1500000004</v>
      </c>
    </row>
    <row r="259" spans="1:7" x14ac:dyDescent="0.2">
      <c r="A259" s="1">
        <v>244348</v>
      </c>
      <c r="B259" t="s">
        <v>22</v>
      </c>
      <c r="C259" t="s">
        <v>315</v>
      </c>
      <c r="D259" t="s">
        <v>285</v>
      </c>
      <c r="E259" s="3">
        <v>10845.52</v>
      </c>
      <c r="G259" s="2">
        <v>6702084.6699999999</v>
      </c>
    </row>
    <row r="260" spans="1:7" x14ac:dyDescent="0.2">
      <c r="A260" s="1">
        <v>244348</v>
      </c>
      <c r="B260" t="s">
        <v>22</v>
      </c>
      <c r="C260" t="s">
        <v>315</v>
      </c>
      <c r="D260" t="s">
        <v>251</v>
      </c>
      <c r="E260" s="3">
        <v>9557.24</v>
      </c>
      <c r="G260" s="2">
        <v>6711641.9100000001</v>
      </c>
    </row>
    <row r="261" spans="1:7" x14ac:dyDescent="0.2">
      <c r="A261" s="1">
        <v>244348</v>
      </c>
      <c r="B261" t="s">
        <v>22</v>
      </c>
      <c r="C261" t="s">
        <v>315</v>
      </c>
      <c r="D261" t="s">
        <v>269</v>
      </c>
      <c r="E261" s="3">
        <v>17909.66</v>
      </c>
      <c r="G261" s="2">
        <v>6729551.5700000003</v>
      </c>
    </row>
    <row r="262" spans="1:7" x14ac:dyDescent="0.2">
      <c r="A262" s="1">
        <v>244348</v>
      </c>
      <c r="B262" t="s">
        <v>22</v>
      </c>
      <c r="C262" t="s">
        <v>315</v>
      </c>
      <c r="D262" t="s">
        <v>307</v>
      </c>
      <c r="E262" s="3">
        <v>14360.47</v>
      </c>
      <c r="G262" s="2">
        <v>6743912.04</v>
      </c>
    </row>
    <row r="263" spans="1:7" x14ac:dyDescent="0.2">
      <c r="A263" s="1">
        <v>244348</v>
      </c>
      <c r="B263" t="s">
        <v>22</v>
      </c>
      <c r="C263" t="s">
        <v>315</v>
      </c>
      <c r="D263" t="s">
        <v>252</v>
      </c>
      <c r="E263" s="3">
        <v>9199.66</v>
      </c>
      <c r="G263" s="2">
        <v>6753111.7000000002</v>
      </c>
    </row>
    <row r="264" spans="1:7" x14ac:dyDescent="0.2">
      <c r="A264" s="1">
        <v>244348</v>
      </c>
      <c r="B264" t="s">
        <v>22</v>
      </c>
      <c r="C264" t="s">
        <v>315</v>
      </c>
      <c r="D264" t="s">
        <v>290</v>
      </c>
      <c r="E264" s="3">
        <v>12120.94</v>
      </c>
      <c r="G264" s="2">
        <v>6765232.6399999997</v>
      </c>
    </row>
    <row r="265" spans="1:7" x14ac:dyDescent="0.2">
      <c r="A265" s="1">
        <v>244348</v>
      </c>
      <c r="B265" t="s">
        <v>22</v>
      </c>
      <c r="C265" t="s">
        <v>315</v>
      </c>
      <c r="D265" t="s">
        <v>291</v>
      </c>
      <c r="E265" s="3">
        <v>2406.4299999999998</v>
      </c>
      <c r="G265" s="2">
        <v>6767639.0700000003</v>
      </c>
    </row>
    <row r="266" spans="1:7" x14ac:dyDescent="0.2">
      <c r="A266" s="1">
        <v>244348</v>
      </c>
      <c r="B266" t="s">
        <v>22</v>
      </c>
      <c r="C266" t="s">
        <v>315</v>
      </c>
      <c r="D266" t="s">
        <v>259</v>
      </c>
      <c r="E266" s="3">
        <v>8395.2199999999993</v>
      </c>
      <c r="G266" s="2">
        <v>6776034.29</v>
      </c>
    </row>
    <row r="267" spans="1:7" x14ac:dyDescent="0.2">
      <c r="A267" s="1">
        <v>244348</v>
      </c>
      <c r="B267" t="s">
        <v>22</v>
      </c>
      <c r="C267" t="s">
        <v>315</v>
      </c>
      <c r="D267" t="s">
        <v>272</v>
      </c>
      <c r="E267" s="3">
        <v>2865.14</v>
      </c>
      <c r="G267" s="2">
        <v>6778899.4299999997</v>
      </c>
    </row>
    <row r="268" spans="1:7" x14ac:dyDescent="0.2">
      <c r="A268" s="1">
        <v>244348</v>
      </c>
      <c r="B268" t="s">
        <v>22</v>
      </c>
      <c r="C268" t="s">
        <v>315</v>
      </c>
      <c r="D268" t="s">
        <v>273</v>
      </c>
      <c r="E268" s="3">
        <v>14787.34</v>
      </c>
      <c r="G268" s="2">
        <v>6793686.7699999996</v>
      </c>
    </row>
    <row r="269" spans="1:7" x14ac:dyDescent="0.2">
      <c r="A269" s="1">
        <v>244348</v>
      </c>
      <c r="B269" t="s">
        <v>22</v>
      </c>
      <c r="C269" t="s">
        <v>315</v>
      </c>
      <c r="D269" t="s">
        <v>274</v>
      </c>
      <c r="E269" s="3">
        <v>11226.88</v>
      </c>
      <c r="G269" s="2">
        <v>6804913.6500000004</v>
      </c>
    </row>
    <row r="270" spans="1:7" x14ac:dyDescent="0.2">
      <c r="A270" s="1">
        <v>244348</v>
      </c>
      <c r="B270" t="s">
        <v>22</v>
      </c>
      <c r="C270" t="s">
        <v>315</v>
      </c>
      <c r="D270" t="s">
        <v>271</v>
      </c>
      <c r="E270" s="3">
        <v>12844.28</v>
      </c>
      <c r="G270" s="2">
        <v>6817757.9299999997</v>
      </c>
    </row>
    <row r="271" spans="1:7" x14ac:dyDescent="0.2">
      <c r="A271" s="1">
        <v>244348</v>
      </c>
      <c r="B271" t="s">
        <v>22</v>
      </c>
      <c r="C271" t="s">
        <v>315</v>
      </c>
      <c r="D271" t="s">
        <v>270</v>
      </c>
      <c r="E271" s="3">
        <v>23105.58</v>
      </c>
      <c r="G271" s="2">
        <v>6840863.5099999998</v>
      </c>
    </row>
    <row r="272" spans="1:7" x14ac:dyDescent="0.2">
      <c r="A272" s="1">
        <v>244348</v>
      </c>
      <c r="B272" t="s">
        <v>22</v>
      </c>
      <c r="C272" t="s">
        <v>315</v>
      </c>
      <c r="D272" t="s">
        <v>293</v>
      </c>
      <c r="E272" s="3">
        <v>10845.52</v>
      </c>
      <c r="G272" s="2">
        <v>6851709.0300000003</v>
      </c>
    </row>
    <row r="273" spans="1:7" x14ac:dyDescent="0.2">
      <c r="A273" s="1">
        <v>244348</v>
      </c>
      <c r="B273" t="s">
        <v>22</v>
      </c>
      <c r="C273" t="s">
        <v>315</v>
      </c>
      <c r="D273" t="s">
        <v>292</v>
      </c>
      <c r="E273" s="3">
        <v>13785.88</v>
      </c>
      <c r="G273" s="2">
        <v>6865494.9100000001</v>
      </c>
    </row>
    <row r="274" spans="1:7" x14ac:dyDescent="0.2">
      <c r="A274" s="1">
        <v>244348</v>
      </c>
      <c r="B274" t="s">
        <v>22</v>
      </c>
      <c r="C274" t="s">
        <v>315</v>
      </c>
      <c r="D274" t="s">
        <v>253</v>
      </c>
      <c r="E274" s="3">
        <v>7977.36</v>
      </c>
      <c r="G274" s="2">
        <v>6873472.2699999996</v>
      </c>
    </row>
    <row r="275" spans="1:7" x14ac:dyDescent="0.2">
      <c r="A275" s="1">
        <v>244348</v>
      </c>
      <c r="B275" t="s">
        <v>22</v>
      </c>
      <c r="C275" t="s">
        <v>315</v>
      </c>
      <c r="D275" t="s">
        <v>275</v>
      </c>
      <c r="E275" s="10">
        <v>16990.29</v>
      </c>
      <c r="G275" s="2">
        <v>6890462.5599999996</v>
      </c>
    </row>
    <row r="276" spans="1:7" x14ac:dyDescent="0.2">
      <c r="A276" s="1">
        <v>244348</v>
      </c>
      <c r="B276" t="s">
        <v>22</v>
      </c>
      <c r="C276" t="s">
        <v>315</v>
      </c>
      <c r="D276" t="s">
        <v>260</v>
      </c>
      <c r="E276" s="3">
        <v>2526.27</v>
      </c>
      <c r="G276" s="2">
        <v>6892988.8300000001</v>
      </c>
    </row>
    <row r="277" spans="1:7" x14ac:dyDescent="0.2">
      <c r="A277" s="1">
        <v>244348</v>
      </c>
      <c r="B277" t="s">
        <v>22</v>
      </c>
      <c r="C277" t="s">
        <v>315</v>
      </c>
      <c r="D277" t="s">
        <v>261</v>
      </c>
      <c r="E277" s="3">
        <v>8257.19</v>
      </c>
      <c r="G277" s="2">
        <v>6901246.0199999996</v>
      </c>
    </row>
    <row r="278" spans="1:7" x14ac:dyDescent="0.2">
      <c r="A278" s="1">
        <v>244348</v>
      </c>
      <c r="B278" t="s">
        <v>22</v>
      </c>
      <c r="C278" t="s">
        <v>315</v>
      </c>
      <c r="D278" t="s">
        <v>294</v>
      </c>
      <c r="E278" s="3">
        <v>3473.79</v>
      </c>
      <c r="G278" s="2">
        <v>6904719.8099999996</v>
      </c>
    </row>
    <row r="279" spans="1:7" x14ac:dyDescent="0.2">
      <c r="A279" s="1">
        <v>244348</v>
      </c>
      <c r="B279" t="s">
        <v>22</v>
      </c>
      <c r="C279" t="s">
        <v>315</v>
      </c>
      <c r="D279" t="s">
        <v>286</v>
      </c>
      <c r="E279" s="3">
        <v>18176.84</v>
      </c>
      <c r="G279" s="2">
        <v>6922896.6500000004</v>
      </c>
    </row>
    <row r="280" spans="1:7" x14ac:dyDescent="0.2">
      <c r="A280" s="1">
        <v>244348</v>
      </c>
      <c r="B280" t="s">
        <v>22</v>
      </c>
      <c r="C280" t="s">
        <v>315</v>
      </c>
      <c r="D280" t="s">
        <v>313</v>
      </c>
      <c r="E280" s="3">
        <v>18371.900000000001</v>
      </c>
      <c r="G280" s="2">
        <v>6941268.5499999998</v>
      </c>
    </row>
    <row r="281" spans="1:7" x14ac:dyDescent="0.2">
      <c r="A281" s="1">
        <v>244348</v>
      </c>
      <c r="B281" t="s">
        <v>22</v>
      </c>
      <c r="C281" t="s">
        <v>315</v>
      </c>
      <c r="D281" t="s">
        <v>295</v>
      </c>
      <c r="E281" s="3">
        <v>13666.97</v>
      </c>
      <c r="G281" s="2">
        <v>6954935.5199999996</v>
      </c>
    </row>
    <row r="282" spans="1:7" x14ac:dyDescent="0.2">
      <c r="A282" s="1">
        <v>244348</v>
      </c>
      <c r="B282" t="s">
        <v>22</v>
      </c>
      <c r="C282" t="s">
        <v>315</v>
      </c>
      <c r="D282" t="s">
        <v>276</v>
      </c>
      <c r="E282" s="3">
        <v>21938.21</v>
      </c>
      <c r="G282" s="2">
        <v>6976873.7300000004</v>
      </c>
    </row>
    <row r="283" spans="1:7" x14ac:dyDescent="0.2">
      <c r="A283" s="1">
        <v>244348</v>
      </c>
      <c r="B283" t="s">
        <v>22</v>
      </c>
      <c r="C283" t="s">
        <v>315</v>
      </c>
      <c r="D283" t="s">
        <v>296</v>
      </c>
      <c r="E283" s="3">
        <v>9539.2000000000007</v>
      </c>
      <c r="G283" s="2">
        <v>6986412.9299999997</v>
      </c>
    </row>
    <row r="284" spans="1:7" x14ac:dyDescent="0.2">
      <c r="A284" s="1">
        <v>244348</v>
      </c>
      <c r="B284" t="s">
        <v>22</v>
      </c>
      <c r="C284" t="s">
        <v>315</v>
      </c>
      <c r="D284" t="s">
        <v>297</v>
      </c>
      <c r="E284" s="3">
        <v>2945.71</v>
      </c>
      <c r="G284" s="2">
        <v>6989358.6399999997</v>
      </c>
    </row>
    <row r="285" spans="1:7" x14ac:dyDescent="0.2">
      <c r="A285" s="1">
        <v>244348</v>
      </c>
      <c r="B285" t="s">
        <v>22</v>
      </c>
      <c r="C285" t="s">
        <v>315</v>
      </c>
      <c r="D285" t="s">
        <v>298</v>
      </c>
      <c r="E285" s="3">
        <v>2933.57</v>
      </c>
      <c r="G285" s="2">
        <v>6992292.21</v>
      </c>
    </row>
    <row r="286" spans="1:7" x14ac:dyDescent="0.2">
      <c r="A286" s="1">
        <v>244348</v>
      </c>
      <c r="B286" t="s">
        <v>22</v>
      </c>
      <c r="C286" t="s">
        <v>315</v>
      </c>
      <c r="D286" t="s">
        <v>299</v>
      </c>
      <c r="E286" s="3">
        <v>2553.02</v>
      </c>
      <c r="G286" s="2">
        <v>6994845.2300000004</v>
      </c>
    </row>
    <row r="287" spans="1:7" x14ac:dyDescent="0.2">
      <c r="A287" s="1">
        <v>244348</v>
      </c>
      <c r="B287" t="s">
        <v>22</v>
      </c>
      <c r="C287" t="s">
        <v>315</v>
      </c>
      <c r="D287" t="s">
        <v>308</v>
      </c>
      <c r="E287" s="3">
        <v>13235.9</v>
      </c>
      <c r="G287" s="2">
        <v>7008081.1299999999</v>
      </c>
    </row>
    <row r="288" spans="1:7" x14ac:dyDescent="0.2">
      <c r="A288" s="1">
        <v>244348</v>
      </c>
      <c r="B288" t="s">
        <v>22</v>
      </c>
      <c r="C288" t="s">
        <v>315</v>
      </c>
      <c r="D288" t="s">
        <v>277</v>
      </c>
      <c r="E288" s="3">
        <v>2706.03</v>
      </c>
      <c r="G288" s="2">
        <v>7010787.1600000001</v>
      </c>
    </row>
    <row r="289" spans="1:7" x14ac:dyDescent="0.2">
      <c r="A289" s="1">
        <v>244348</v>
      </c>
      <c r="B289" t="s">
        <v>22</v>
      </c>
      <c r="C289" t="s">
        <v>315</v>
      </c>
      <c r="D289" t="s">
        <v>278</v>
      </c>
      <c r="E289" s="3">
        <v>2706.03</v>
      </c>
      <c r="G289" s="2">
        <v>7013493.1900000004</v>
      </c>
    </row>
    <row r="290" spans="1:7" x14ac:dyDescent="0.2">
      <c r="A290" s="1">
        <v>244349</v>
      </c>
      <c r="B290" t="s">
        <v>19</v>
      </c>
      <c r="C290" t="s">
        <v>319</v>
      </c>
      <c r="D290" t="s">
        <v>320</v>
      </c>
      <c r="F290" s="3">
        <v>899900</v>
      </c>
      <c r="G290" s="2">
        <v>6113593.1900000004</v>
      </c>
    </row>
    <row r="291" spans="1:7" x14ac:dyDescent="0.2">
      <c r="A291" s="1">
        <v>244349</v>
      </c>
      <c r="B291" t="s">
        <v>19</v>
      </c>
      <c r="C291" t="s">
        <v>319</v>
      </c>
      <c r="D291" t="s">
        <v>320</v>
      </c>
      <c r="F291" s="3">
        <v>2706.03</v>
      </c>
      <c r="G291" s="2">
        <v>6110887.1600000001</v>
      </c>
    </row>
    <row r="292" spans="1:7" x14ac:dyDescent="0.2">
      <c r="A292" s="1">
        <v>244349</v>
      </c>
      <c r="B292" t="s">
        <v>19</v>
      </c>
      <c r="C292" t="s">
        <v>321</v>
      </c>
      <c r="D292" t="s">
        <v>322</v>
      </c>
      <c r="F292" s="3">
        <v>899900</v>
      </c>
      <c r="G292" s="2">
        <v>5210987.16</v>
      </c>
    </row>
    <row r="293" spans="1:7" x14ac:dyDescent="0.2">
      <c r="A293" s="1">
        <v>244349</v>
      </c>
      <c r="B293" t="s">
        <v>19</v>
      </c>
      <c r="C293" t="s">
        <v>321</v>
      </c>
      <c r="D293" t="s">
        <v>322</v>
      </c>
      <c r="F293" s="3">
        <v>2706.03</v>
      </c>
      <c r="G293" s="2">
        <v>5208281.13</v>
      </c>
    </row>
    <row r="294" spans="1:7" x14ac:dyDescent="0.2">
      <c r="A294" s="1">
        <v>244349</v>
      </c>
      <c r="B294" t="s">
        <v>19</v>
      </c>
      <c r="C294" t="s">
        <v>323</v>
      </c>
      <c r="D294" t="s">
        <v>324</v>
      </c>
      <c r="F294" s="3">
        <v>769900</v>
      </c>
      <c r="G294" s="2">
        <v>4438381.13</v>
      </c>
    </row>
    <row r="295" spans="1:7" x14ac:dyDescent="0.2">
      <c r="A295" s="1">
        <v>244349</v>
      </c>
      <c r="B295" t="s">
        <v>19</v>
      </c>
      <c r="C295" t="s">
        <v>323</v>
      </c>
      <c r="D295" t="s">
        <v>324</v>
      </c>
      <c r="F295" s="3">
        <v>18176.84</v>
      </c>
      <c r="G295" s="2">
        <v>4420204.29</v>
      </c>
    </row>
  </sheetData>
  <autoFilter ref="A5:G296" xr:uid="{D3937F00-316B-449D-A71D-D94072558EAA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C8E9-2889-41DE-9E89-90CA7A017E28}">
  <dimension ref="A1:I290"/>
  <sheetViews>
    <sheetView topLeftCell="A112" workbookViewId="0">
      <selection activeCell="E131" sqref="E131"/>
    </sheetView>
  </sheetViews>
  <sheetFormatPr defaultRowHeight="14.25" x14ac:dyDescent="0.2"/>
  <cols>
    <col min="1" max="1" width="14.875" customWidth="1"/>
    <col min="2" max="2" width="44.125" bestFit="1" customWidth="1"/>
    <col min="3" max="3" width="10.875" customWidth="1"/>
    <col min="4" max="4" width="22.25" bestFit="1" customWidth="1"/>
    <col min="5" max="5" width="44.125" bestFit="1" customWidth="1"/>
    <col min="6" max="7" width="12.75" style="2" bestFit="1" customWidth="1"/>
    <col min="8" max="8" width="13.625" style="2" customWidth="1"/>
    <col min="9" max="9" width="15.625" customWidth="1"/>
  </cols>
  <sheetData>
    <row r="1" spans="1:9" x14ac:dyDescent="0.2">
      <c r="A1" t="s">
        <v>10</v>
      </c>
      <c r="B1" t="s">
        <v>13</v>
      </c>
      <c r="C1" t="s">
        <v>11</v>
      </c>
      <c r="D1" t="s">
        <v>12</v>
      </c>
      <c r="E1" s="4" t="s">
        <v>325</v>
      </c>
      <c r="F1" s="2" t="s">
        <v>14</v>
      </c>
      <c r="G1" s="2" t="s">
        <v>15</v>
      </c>
      <c r="H1" s="2" t="s">
        <v>16</v>
      </c>
      <c r="I1" s="5" t="s">
        <v>326</v>
      </c>
    </row>
    <row r="2" spans="1:9" x14ac:dyDescent="0.2">
      <c r="A2" s="1">
        <v>244257</v>
      </c>
      <c r="B2" t="s">
        <v>21</v>
      </c>
      <c r="C2" t="s">
        <v>19</v>
      </c>
      <c r="D2" t="s">
        <v>20</v>
      </c>
      <c r="E2" t="s">
        <v>333</v>
      </c>
      <c r="G2" s="2">
        <v>899900</v>
      </c>
      <c r="H2" s="2">
        <v>-899900</v>
      </c>
      <c r="I2" s="2">
        <f>F2-G2</f>
        <v>-899900</v>
      </c>
    </row>
    <row r="3" spans="1:9" x14ac:dyDescent="0.2">
      <c r="A3" s="1">
        <v>244257</v>
      </c>
      <c r="B3" t="s">
        <v>21</v>
      </c>
      <c r="C3" t="s">
        <v>19</v>
      </c>
      <c r="D3" t="s">
        <v>20</v>
      </c>
      <c r="E3" t="s">
        <v>333</v>
      </c>
      <c r="G3" s="2">
        <v>8541.81</v>
      </c>
      <c r="H3" s="2">
        <v>-908441.81</v>
      </c>
      <c r="I3" s="2">
        <f t="shared" ref="I3:I66" si="0">F3-G3</f>
        <v>-8541.81</v>
      </c>
    </row>
    <row r="4" spans="1:9" x14ac:dyDescent="0.2">
      <c r="A4" s="1">
        <v>244257</v>
      </c>
      <c r="B4" t="s">
        <v>24</v>
      </c>
      <c r="C4" t="s">
        <v>22</v>
      </c>
      <c r="D4" t="s">
        <v>23</v>
      </c>
      <c r="E4" t="s">
        <v>333</v>
      </c>
      <c r="F4" s="2">
        <v>899900</v>
      </c>
      <c r="H4" s="2">
        <v>-8541.81</v>
      </c>
      <c r="I4" s="2">
        <f t="shared" si="0"/>
        <v>899900</v>
      </c>
    </row>
    <row r="5" spans="1:9" x14ac:dyDescent="0.2">
      <c r="A5" s="1">
        <v>244257</v>
      </c>
      <c r="B5" t="s">
        <v>24</v>
      </c>
      <c r="C5" t="s">
        <v>22</v>
      </c>
      <c r="D5" t="s">
        <v>23</v>
      </c>
      <c r="E5" t="s">
        <v>333</v>
      </c>
      <c r="F5" s="2">
        <v>8541.81</v>
      </c>
      <c r="H5" s="2">
        <v>0</v>
      </c>
      <c r="I5" s="2">
        <f t="shared" si="0"/>
        <v>8541.81</v>
      </c>
    </row>
    <row r="6" spans="1:9" x14ac:dyDescent="0.2">
      <c r="A6" s="1">
        <v>244259</v>
      </c>
      <c r="B6" t="s">
        <v>26</v>
      </c>
      <c r="C6" t="s">
        <v>22</v>
      </c>
      <c r="D6" t="s">
        <v>25</v>
      </c>
      <c r="E6" t="s">
        <v>334</v>
      </c>
      <c r="F6" s="2">
        <v>1249000</v>
      </c>
      <c r="H6" s="2">
        <v>1249000</v>
      </c>
      <c r="I6" s="2">
        <f t="shared" si="0"/>
        <v>1249000</v>
      </c>
    </row>
    <row r="7" spans="1:9" x14ac:dyDescent="0.2">
      <c r="A7" s="1">
        <v>244259</v>
      </c>
      <c r="B7" t="s">
        <v>26</v>
      </c>
      <c r="C7" t="s">
        <v>22</v>
      </c>
      <c r="D7" t="s">
        <v>25</v>
      </c>
      <c r="E7" t="s">
        <v>334</v>
      </c>
      <c r="F7" s="2">
        <v>2769.16</v>
      </c>
      <c r="H7" s="2">
        <v>1251769.1599999999</v>
      </c>
      <c r="I7" s="2">
        <f t="shared" si="0"/>
        <v>2769.16</v>
      </c>
    </row>
    <row r="8" spans="1:9" x14ac:dyDescent="0.2">
      <c r="A8" s="1">
        <v>244265</v>
      </c>
      <c r="B8" t="s">
        <v>28</v>
      </c>
      <c r="C8" t="s">
        <v>19</v>
      </c>
      <c r="D8" t="s">
        <v>27</v>
      </c>
      <c r="E8" t="s">
        <v>334</v>
      </c>
      <c r="G8" s="2">
        <v>1249000</v>
      </c>
      <c r="H8" s="2">
        <v>2769.16</v>
      </c>
      <c r="I8" s="2">
        <f t="shared" si="0"/>
        <v>-1249000</v>
      </c>
    </row>
    <row r="9" spans="1:9" x14ac:dyDescent="0.2">
      <c r="A9" s="1">
        <v>244265</v>
      </c>
      <c r="B9" t="s">
        <v>28</v>
      </c>
      <c r="C9" t="s">
        <v>19</v>
      </c>
      <c r="D9" t="s">
        <v>27</v>
      </c>
      <c r="E9" t="s">
        <v>334</v>
      </c>
      <c r="G9" s="2">
        <v>2769.16</v>
      </c>
      <c r="H9" s="2">
        <v>0</v>
      </c>
      <c r="I9" s="2">
        <f t="shared" si="0"/>
        <v>-2769.16</v>
      </c>
    </row>
    <row r="10" spans="1:9" x14ac:dyDescent="0.2">
      <c r="A10" s="1">
        <v>244267</v>
      </c>
      <c r="B10" t="s">
        <v>30</v>
      </c>
      <c r="C10" t="s">
        <v>19</v>
      </c>
      <c r="D10" t="s">
        <v>29</v>
      </c>
      <c r="E10" t="s">
        <v>335</v>
      </c>
      <c r="G10" s="2">
        <v>899900</v>
      </c>
      <c r="H10" s="2">
        <v>-899900</v>
      </c>
      <c r="I10" s="2">
        <f t="shared" si="0"/>
        <v>-899900</v>
      </c>
    </row>
    <row r="11" spans="1:9" x14ac:dyDescent="0.2">
      <c r="A11" s="1">
        <v>244267</v>
      </c>
      <c r="B11" t="s">
        <v>30</v>
      </c>
      <c r="C11" t="s">
        <v>19</v>
      </c>
      <c r="D11" t="s">
        <v>29</v>
      </c>
      <c r="E11" t="s">
        <v>335</v>
      </c>
      <c r="G11" s="2">
        <v>15383.39</v>
      </c>
      <c r="H11" s="2">
        <v>-915283.39</v>
      </c>
      <c r="I11" s="2">
        <f t="shared" si="0"/>
        <v>-15383.39</v>
      </c>
    </row>
    <row r="12" spans="1:9" x14ac:dyDescent="0.2">
      <c r="A12" s="1">
        <v>244268</v>
      </c>
      <c r="B12" t="s">
        <v>32</v>
      </c>
      <c r="C12" t="s">
        <v>22</v>
      </c>
      <c r="D12" t="s">
        <v>31</v>
      </c>
      <c r="E12" t="s">
        <v>336</v>
      </c>
      <c r="F12" s="2">
        <v>899900</v>
      </c>
      <c r="H12" s="2">
        <v>-15383.39</v>
      </c>
      <c r="I12" s="2">
        <f t="shared" si="0"/>
        <v>899900</v>
      </c>
    </row>
    <row r="13" spans="1:9" x14ac:dyDescent="0.2">
      <c r="A13" s="1">
        <v>244268</v>
      </c>
      <c r="B13" t="s">
        <v>32</v>
      </c>
      <c r="C13" t="s">
        <v>22</v>
      </c>
      <c r="D13" t="s">
        <v>31</v>
      </c>
      <c r="E13" t="s">
        <v>336</v>
      </c>
      <c r="F13" s="2">
        <v>8609.2199999999993</v>
      </c>
      <c r="H13" s="2">
        <v>-6774.17</v>
      </c>
      <c r="I13" s="2">
        <f t="shared" si="0"/>
        <v>8609.2199999999993</v>
      </c>
    </row>
    <row r="14" spans="1:9" x14ac:dyDescent="0.2">
      <c r="A14" s="1">
        <v>244268</v>
      </c>
      <c r="B14" t="s">
        <v>34</v>
      </c>
      <c r="C14" t="s">
        <v>22</v>
      </c>
      <c r="D14" t="s">
        <v>33</v>
      </c>
      <c r="E14" t="s">
        <v>335</v>
      </c>
      <c r="F14" s="2">
        <v>899900</v>
      </c>
      <c r="H14" s="2">
        <v>893125.83</v>
      </c>
      <c r="I14" s="2">
        <f t="shared" si="0"/>
        <v>899900</v>
      </c>
    </row>
    <row r="15" spans="1:9" x14ac:dyDescent="0.2">
      <c r="A15" s="1">
        <v>244268</v>
      </c>
      <c r="B15" t="s">
        <v>34</v>
      </c>
      <c r="C15" t="s">
        <v>22</v>
      </c>
      <c r="D15" t="s">
        <v>33</v>
      </c>
      <c r="E15" t="s">
        <v>335</v>
      </c>
      <c r="F15" s="2">
        <v>15383.39</v>
      </c>
      <c r="H15" s="2">
        <v>908509.22</v>
      </c>
      <c r="I15" s="2">
        <f t="shared" si="0"/>
        <v>15383.39</v>
      </c>
    </row>
    <row r="16" spans="1:9" x14ac:dyDescent="0.2">
      <c r="A16" s="1">
        <v>244271</v>
      </c>
      <c r="B16" t="s">
        <v>36</v>
      </c>
      <c r="C16" t="s">
        <v>22</v>
      </c>
      <c r="D16" t="s">
        <v>35</v>
      </c>
      <c r="E16" t="s">
        <v>337</v>
      </c>
      <c r="F16" s="2">
        <v>499900</v>
      </c>
      <c r="H16" s="2">
        <v>1408409.22</v>
      </c>
      <c r="I16" s="2">
        <f t="shared" si="0"/>
        <v>499900</v>
      </c>
    </row>
    <row r="17" spans="1:9" x14ac:dyDescent="0.2">
      <c r="A17" s="1">
        <v>244271</v>
      </c>
      <c r="B17" t="s">
        <v>36</v>
      </c>
      <c r="C17" t="s">
        <v>22</v>
      </c>
      <c r="D17" t="s">
        <v>35</v>
      </c>
      <c r="E17" t="s">
        <v>337</v>
      </c>
      <c r="F17" s="2">
        <v>5384.24</v>
      </c>
      <c r="H17" s="2">
        <v>1413793.46</v>
      </c>
      <c r="I17" s="2">
        <f t="shared" si="0"/>
        <v>5384.24</v>
      </c>
    </row>
    <row r="18" spans="1:9" x14ac:dyDescent="0.2">
      <c r="A18" s="1">
        <v>244272</v>
      </c>
      <c r="B18" t="s">
        <v>38</v>
      </c>
      <c r="C18" t="s">
        <v>19</v>
      </c>
      <c r="D18" t="s">
        <v>37</v>
      </c>
      <c r="E18" t="s">
        <v>337</v>
      </c>
      <c r="G18" s="2">
        <v>499900</v>
      </c>
      <c r="H18" s="2">
        <v>913893.46</v>
      </c>
      <c r="I18" s="2">
        <f t="shared" si="0"/>
        <v>-499900</v>
      </c>
    </row>
    <row r="19" spans="1:9" x14ac:dyDescent="0.2">
      <c r="A19" s="1">
        <v>244272</v>
      </c>
      <c r="B19" t="s">
        <v>38</v>
      </c>
      <c r="C19" t="s">
        <v>19</v>
      </c>
      <c r="D19" t="s">
        <v>37</v>
      </c>
      <c r="E19" t="s">
        <v>337</v>
      </c>
      <c r="G19" s="2">
        <v>5384.24</v>
      </c>
      <c r="H19" s="2">
        <v>908509.22</v>
      </c>
      <c r="I19" s="2">
        <f t="shared" si="0"/>
        <v>-5384.24</v>
      </c>
    </row>
    <row r="20" spans="1:9" x14ac:dyDescent="0.2">
      <c r="A20" s="1">
        <v>244272</v>
      </c>
      <c r="B20" t="s">
        <v>40</v>
      </c>
      <c r="C20" t="s">
        <v>19</v>
      </c>
      <c r="D20" t="s">
        <v>39</v>
      </c>
      <c r="E20" t="s">
        <v>336</v>
      </c>
      <c r="G20" s="2">
        <v>899900</v>
      </c>
      <c r="H20" s="2">
        <v>8609.2199999999993</v>
      </c>
      <c r="I20" s="2">
        <f t="shared" si="0"/>
        <v>-899900</v>
      </c>
    </row>
    <row r="21" spans="1:9" x14ac:dyDescent="0.2">
      <c r="A21" s="1">
        <v>244272</v>
      </c>
      <c r="B21" t="s">
        <v>40</v>
      </c>
      <c r="C21" t="s">
        <v>19</v>
      </c>
      <c r="D21" t="s">
        <v>39</v>
      </c>
      <c r="E21" t="s">
        <v>336</v>
      </c>
      <c r="G21" s="2">
        <v>8609.2199999999993</v>
      </c>
      <c r="H21" s="2">
        <v>0</v>
      </c>
      <c r="I21" s="2">
        <f t="shared" si="0"/>
        <v>-8609.2199999999993</v>
      </c>
    </row>
    <row r="22" spans="1:9" x14ac:dyDescent="0.2">
      <c r="A22" s="1">
        <v>244275</v>
      </c>
      <c r="B22" t="s">
        <v>42</v>
      </c>
      <c r="C22" t="s">
        <v>19</v>
      </c>
      <c r="D22" t="s">
        <v>41</v>
      </c>
      <c r="E22" t="s">
        <v>338</v>
      </c>
      <c r="G22" s="2">
        <v>899900</v>
      </c>
      <c r="H22" s="2">
        <v>-899900</v>
      </c>
      <c r="I22" s="2">
        <f t="shared" si="0"/>
        <v>-899900</v>
      </c>
    </row>
    <row r="23" spans="1:9" x14ac:dyDescent="0.2">
      <c r="A23" s="1">
        <v>244275</v>
      </c>
      <c r="B23" t="s">
        <v>44</v>
      </c>
      <c r="C23" t="s">
        <v>22</v>
      </c>
      <c r="D23" t="s">
        <v>43</v>
      </c>
      <c r="E23" t="s">
        <v>338</v>
      </c>
      <c r="F23" s="2">
        <v>899900</v>
      </c>
      <c r="H23" s="2">
        <v>0</v>
      </c>
      <c r="I23" s="2">
        <f t="shared" si="0"/>
        <v>899900</v>
      </c>
    </row>
    <row r="24" spans="1:9" x14ac:dyDescent="0.2">
      <c r="A24" s="1">
        <v>244278</v>
      </c>
      <c r="B24" t="s">
        <v>46</v>
      </c>
      <c r="C24" t="s">
        <v>19</v>
      </c>
      <c r="D24" t="s">
        <v>45</v>
      </c>
      <c r="E24" t="s">
        <v>339</v>
      </c>
      <c r="G24" s="2">
        <v>499900</v>
      </c>
      <c r="H24" s="2">
        <v>-499900</v>
      </c>
      <c r="I24" s="2">
        <f t="shared" si="0"/>
        <v>-499900</v>
      </c>
    </row>
    <row r="25" spans="1:9" x14ac:dyDescent="0.2">
      <c r="A25" s="1">
        <v>244278</v>
      </c>
      <c r="B25" t="s">
        <v>46</v>
      </c>
      <c r="C25" t="s">
        <v>19</v>
      </c>
      <c r="D25" t="s">
        <v>45</v>
      </c>
      <c r="E25" t="s">
        <v>339</v>
      </c>
      <c r="G25" s="2">
        <v>6062.62</v>
      </c>
      <c r="H25" s="2">
        <v>-505962.62</v>
      </c>
      <c r="I25" s="2">
        <f t="shared" si="0"/>
        <v>-6062.62</v>
      </c>
    </row>
    <row r="26" spans="1:9" x14ac:dyDescent="0.2">
      <c r="A26" s="1">
        <v>244278</v>
      </c>
      <c r="B26" t="s">
        <v>48</v>
      </c>
      <c r="C26" t="s">
        <v>22</v>
      </c>
      <c r="D26" t="s">
        <v>47</v>
      </c>
      <c r="E26" t="s">
        <v>339</v>
      </c>
      <c r="F26" s="2">
        <v>499900</v>
      </c>
      <c r="H26" s="2">
        <v>-6062.62</v>
      </c>
      <c r="I26" s="2">
        <f t="shared" si="0"/>
        <v>499900</v>
      </c>
    </row>
    <row r="27" spans="1:9" x14ac:dyDescent="0.2">
      <c r="A27" s="1">
        <v>244278</v>
      </c>
      <c r="B27" t="s">
        <v>48</v>
      </c>
      <c r="C27" t="s">
        <v>22</v>
      </c>
      <c r="D27" t="s">
        <v>47</v>
      </c>
      <c r="E27" t="s">
        <v>339</v>
      </c>
      <c r="F27" s="2">
        <v>6062.62</v>
      </c>
      <c r="H27" s="2">
        <v>0</v>
      </c>
      <c r="I27" s="2">
        <f t="shared" si="0"/>
        <v>6062.62</v>
      </c>
    </row>
    <row r="28" spans="1:9" x14ac:dyDescent="0.2">
      <c r="A28" s="1">
        <v>244285</v>
      </c>
      <c r="B28" t="s">
        <v>50</v>
      </c>
      <c r="C28" t="s">
        <v>19</v>
      </c>
      <c r="D28" t="s">
        <v>49</v>
      </c>
      <c r="E28" t="s">
        <v>340</v>
      </c>
      <c r="G28" s="2">
        <v>899900</v>
      </c>
      <c r="H28" s="2">
        <v>-899900</v>
      </c>
      <c r="I28" s="2">
        <f t="shared" si="0"/>
        <v>-899900</v>
      </c>
    </row>
    <row r="29" spans="1:9" x14ac:dyDescent="0.2">
      <c r="A29" s="1">
        <v>244285</v>
      </c>
      <c r="B29" t="s">
        <v>50</v>
      </c>
      <c r="C29" t="s">
        <v>19</v>
      </c>
      <c r="D29" t="s">
        <v>49</v>
      </c>
      <c r="E29" t="s">
        <v>340</v>
      </c>
      <c r="G29" s="2">
        <v>2533.7600000000002</v>
      </c>
      <c r="H29" s="2">
        <v>-902433.76</v>
      </c>
      <c r="I29" s="2">
        <f t="shared" si="0"/>
        <v>-2533.7600000000002</v>
      </c>
    </row>
    <row r="30" spans="1:9" x14ac:dyDescent="0.2">
      <c r="A30" s="1">
        <v>244285</v>
      </c>
      <c r="B30" t="s">
        <v>52</v>
      </c>
      <c r="C30" t="s">
        <v>22</v>
      </c>
      <c r="D30" t="s">
        <v>51</v>
      </c>
      <c r="E30" t="s">
        <v>340</v>
      </c>
      <c r="F30" s="2">
        <v>899900</v>
      </c>
      <c r="H30" s="2">
        <v>-2533.7600000000002</v>
      </c>
      <c r="I30" s="2">
        <f t="shared" si="0"/>
        <v>899900</v>
      </c>
    </row>
    <row r="31" spans="1:9" x14ac:dyDescent="0.2">
      <c r="A31" s="1">
        <v>244285</v>
      </c>
      <c r="B31" t="s">
        <v>52</v>
      </c>
      <c r="C31" t="s">
        <v>22</v>
      </c>
      <c r="D31" t="s">
        <v>51</v>
      </c>
      <c r="E31" t="s">
        <v>340</v>
      </c>
      <c r="F31" s="2">
        <v>2533.7600000000002</v>
      </c>
      <c r="H31" s="2">
        <v>0</v>
      </c>
      <c r="I31" s="2">
        <f t="shared" si="0"/>
        <v>2533.7600000000002</v>
      </c>
    </row>
    <row r="32" spans="1:9" x14ac:dyDescent="0.2">
      <c r="A32" s="1">
        <v>244287</v>
      </c>
      <c r="B32" t="s">
        <v>54</v>
      </c>
      <c r="C32" t="s">
        <v>19</v>
      </c>
      <c r="D32" t="s">
        <v>53</v>
      </c>
      <c r="E32" t="s">
        <v>366</v>
      </c>
      <c r="G32" s="2">
        <v>670000</v>
      </c>
      <c r="H32" s="2">
        <v>-670000</v>
      </c>
      <c r="I32" s="2">
        <f t="shared" si="0"/>
        <v>-670000</v>
      </c>
    </row>
    <row r="33" spans="1:9" x14ac:dyDescent="0.2">
      <c r="A33" s="1">
        <v>244287</v>
      </c>
      <c r="B33" t="s">
        <v>54</v>
      </c>
      <c r="C33" t="s">
        <v>19</v>
      </c>
      <c r="D33" t="s">
        <v>55</v>
      </c>
      <c r="E33" t="s">
        <v>366</v>
      </c>
      <c r="G33" s="2">
        <v>670000</v>
      </c>
      <c r="H33" s="2">
        <v>-1340000</v>
      </c>
      <c r="I33" s="2">
        <f t="shared" si="0"/>
        <v>-670000</v>
      </c>
    </row>
    <row r="34" spans="1:9" x14ac:dyDescent="0.2">
      <c r="A34" s="1">
        <v>244287</v>
      </c>
      <c r="B34" t="s">
        <v>57</v>
      </c>
      <c r="C34" t="s">
        <v>22</v>
      </c>
      <c r="D34" t="s">
        <v>56</v>
      </c>
      <c r="E34" t="s">
        <v>366</v>
      </c>
      <c r="F34" s="2">
        <v>670000</v>
      </c>
      <c r="H34" s="2">
        <v>-670000</v>
      </c>
      <c r="I34" s="2">
        <f t="shared" si="0"/>
        <v>670000</v>
      </c>
    </row>
    <row r="35" spans="1:9" x14ac:dyDescent="0.2">
      <c r="A35" s="1">
        <v>244287</v>
      </c>
      <c r="B35" t="s">
        <v>57</v>
      </c>
      <c r="C35" t="s">
        <v>22</v>
      </c>
      <c r="D35" t="s">
        <v>58</v>
      </c>
      <c r="E35" t="s">
        <v>366</v>
      </c>
      <c r="F35" s="2">
        <v>670000</v>
      </c>
      <c r="H35" s="2">
        <v>0</v>
      </c>
      <c r="I35" s="2">
        <f t="shared" si="0"/>
        <v>670000</v>
      </c>
    </row>
    <row r="36" spans="1:9" x14ac:dyDescent="0.2">
      <c r="A36" s="1">
        <v>244288</v>
      </c>
      <c r="B36" t="s">
        <v>60</v>
      </c>
      <c r="C36" t="s">
        <v>19</v>
      </c>
      <c r="D36" t="s">
        <v>59</v>
      </c>
      <c r="E36" t="s">
        <v>367</v>
      </c>
      <c r="G36" s="2">
        <v>599900</v>
      </c>
      <c r="H36" s="2">
        <v>-599900</v>
      </c>
      <c r="I36" s="2">
        <f t="shared" si="0"/>
        <v>-599900</v>
      </c>
    </row>
    <row r="37" spans="1:9" x14ac:dyDescent="0.2">
      <c r="A37" s="1">
        <v>244288</v>
      </c>
      <c r="B37" t="s">
        <v>62</v>
      </c>
      <c r="C37" t="s">
        <v>19</v>
      </c>
      <c r="D37" t="s">
        <v>61</v>
      </c>
      <c r="E37" t="s">
        <v>368</v>
      </c>
      <c r="G37" s="2">
        <v>899900</v>
      </c>
      <c r="H37" s="2">
        <v>-1499800</v>
      </c>
      <c r="I37" s="2">
        <f t="shared" si="0"/>
        <v>-899900</v>
      </c>
    </row>
    <row r="38" spans="1:9" x14ac:dyDescent="0.2">
      <c r="A38" s="1">
        <v>244288</v>
      </c>
      <c r="B38" t="s">
        <v>62</v>
      </c>
      <c r="C38" t="s">
        <v>19</v>
      </c>
      <c r="D38" t="s">
        <v>61</v>
      </c>
      <c r="E38" t="s">
        <v>368</v>
      </c>
      <c r="G38" s="2">
        <v>8322.4599999999991</v>
      </c>
      <c r="H38" s="2">
        <v>-1508122.46</v>
      </c>
      <c r="I38" s="2">
        <f t="shared" si="0"/>
        <v>-8322.4599999999991</v>
      </c>
    </row>
    <row r="39" spans="1:9" x14ac:dyDescent="0.2">
      <c r="A39" s="1">
        <v>244288</v>
      </c>
      <c r="B39" t="s">
        <v>64</v>
      </c>
      <c r="C39" t="s">
        <v>22</v>
      </c>
      <c r="D39" t="s">
        <v>63</v>
      </c>
      <c r="E39" t="s">
        <v>367</v>
      </c>
      <c r="F39" s="2">
        <v>599900</v>
      </c>
      <c r="H39" s="2">
        <v>-908222.46</v>
      </c>
      <c r="I39" s="2">
        <f t="shared" si="0"/>
        <v>599900</v>
      </c>
    </row>
    <row r="40" spans="1:9" x14ac:dyDescent="0.2">
      <c r="A40" s="1">
        <v>244288</v>
      </c>
      <c r="B40" t="s">
        <v>66</v>
      </c>
      <c r="C40" t="s">
        <v>22</v>
      </c>
      <c r="D40" t="s">
        <v>65</v>
      </c>
      <c r="E40" t="s">
        <v>368</v>
      </c>
      <c r="F40" s="2">
        <v>899900</v>
      </c>
      <c r="H40" s="2">
        <v>-8322.4599999999991</v>
      </c>
      <c r="I40" s="2">
        <f t="shared" si="0"/>
        <v>899900</v>
      </c>
    </row>
    <row r="41" spans="1:9" x14ac:dyDescent="0.2">
      <c r="A41" s="1">
        <v>244288</v>
      </c>
      <c r="B41" t="s">
        <v>66</v>
      </c>
      <c r="C41" t="s">
        <v>22</v>
      </c>
      <c r="D41" t="s">
        <v>65</v>
      </c>
      <c r="E41" t="s">
        <v>368</v>
      </c>
      <c r="F41" s="2">
        <v>8322.4599999999991</v>
      </c>
      <c r="H41" s="2">
        <v>0</v>
      </c>
      <c r="I41" s="2">
        <f t="shared" si="0"/>
        <v>8322.4599999999991</v>
      </c>
    </row>
    <row r="42" spans="1:9" x14ac:dyDescent="0.2">
      <c r="A42" s="1">
        <v>244292</v>
      </c>
      <c r="B42" t="s">
        <v>68</v>
      </c>
      <c r="C42" t="s">
        <v>19</v>
      </c>
      <c r="D42" t="s">
        <v>67</v>
      </c>
      <c r="E42" t="s">
        <v>369</v>
      </c>
      <c r="G42" s="2">
        <v>469900</v>
      </c>
      <c r="H42" s="2">
        <v>-469900</v>
      </c>
      <c r="I42" s="2">
        <f t="shared" si="0"/>
        <v>-469900</v>
      </c>
    </row>
    <row r="43" spans="1:9" x14ac:dyDescent="0.2">
      <c r="A43" s="1">
        <v>244292</v>
      </c>
      <c r="B43" t="s">
        <v>70</v>
      </c>
      <c r="C43" t="s">
        <v>19</v>
      </c>
      <c r="D43" t="s">
        <v>69</v>
      </c>
      <c r="E43" t="s">
        <v>370</v>
      </c>
      <c r="G43" s="2">
        <v>670000</v>
      </c>
      <c r="H43" s="2">
        <v>-1139900</v>
      </c>
      <c r="I43" s="2">
        <f t="shared" si="0"/>
        <v>-670000</v>
      </c>
    </row>
    <row r="44" spans="1:9" x14ac:dyDescent="0.2">
      <c r="A44" s="1">
        <v>244292</v>
      </c>
      <c r="B44" t="s">
        <v>72</v>
      </c>
      <c r="C44" t="s">
        <v>22</v>
      </c>
      <c r="D44" t="s">
        <v>71</v>
      </c>
      <c r="E44" t="s">
        <v>369</v>
      </c>
      <c r="F44" s="2">
        <v>469900</v>
      </c>
      <c r="H44" s="2">
        <v>-670000</v>
      </c>
      <c r="I44" s="2">
        <f t="shared" si="0"/>
        <v>469900</v>
      </c>
    </row>
    <row r="45" spans="1:9" x14ac:dyDescent="0.2">
      <c r="A45" s="1">
        <v>244292</v>
      </c>
      <c r="B45" t="s">
        <v>74</v>
      </c>
      <c r="C45" t="s">
        <v>22</v>
      </c>
      <c r="D45" t="s">
        <v>73</v>
      </c>
      <c r="E45" t="s">
        <v>370</v>
      </c>
      <c r="F45" s="2">
        <v>670000</v>
      </c>
      <c r="H45" s="2">
        <v>0</v>
      </c>
      <c r="I45" s="2">
        <f t="shared" si="0"/>
        <v>670000</v>
      </c>
    </row>
    <row r="46" spans="1:9" x14ac:dyDescent="0.2">
      <c r="A46" s="1">
        <v>244294</v>
      </c>
      <c r="B46" t="s">
        <v>76</v>
      </c>
      <c r="C46" t="s">
        <v>19</v>
      </c>
      <c r="D46" t="s">
        <v>75</v>
      </c>
      <c r="E46" t="s">
        <v>371</v>
      </c>
      <c r="G46" s="2">
        <v>609900</v>
      </c>
      <c r="H46" s="2">
        <v>-609900</v>
      </c>
      <c r="I46" s="2">
        <f t="shared" si="0"/>
        <v>-609900</v>
      </c>
    </row>
    <row r="47" spans="1:9" x14ac:dyDescent="0.2">
      <c r="A47" s="1">
        <v>244294</v>
      </c>
      <c r="B47" t="s">
        <v>78</v>
      </c>
      <c r="C47" t="s">
        <v>22</v>
      </c>
      <c r="D47" t="s">
        <v>77</v>
      </c>
      <c r="E47" t="s">
        <v>371</v>
      </c>
      <c r="F47" s="2">
        <v>609900</v>
      </c>
      <c r="H47" s="2">
        <v>0</v>
      </c>
      <c r="I47" s="2">
        <f t="shared" si="0"/>
        <v>609900</v>
      </c>
    </row>
    <row r="48" spans="1:9" x14ac:dyDescent="0.2">
      <c r="A48" s="1">
        <v>244296</v>
      </c>
      <c r="B48" t="s">
        <v>80</v>
      </c>
      <c r="C48" t="s">
        <v>19</v>
      </c>
      <c r="D48" t="s">
        <v>79</v>
      </c>
      <c r="E48" t="s">
        <v>370</v>
      </c>
      <c r="G48" s="2">
        <v>670000</v>
      </c>
      <c r="H48" s="2">
        <v>-670000</v>
      </c>
      <c r="I48" s="2">
        <f t="shared" si="0"/>
        <v>-670000</v>
      </c>
    </row>
    <row r="49" spans="1:9" x14ac:dyDescent="0.2">
      <c r="A49" s="1">
        <v>244296</v>
      </c>
      <c r="B49" t="s">
        <v>82</v>
      </c>
      <c r="C49" t="s">
        <v>19</v>
      </c>
      <c r="D49" t="s">
        <v>81</v>
      </c>
      <c r="E49" t="s">
        <v>372</v>
      </c>
      <c r="G49" s="2">
        <v>469900</v>
      </c>
      <c r="H49" s="2">
        <v>-1139900</v>
      </c>
      <c r="I49" s="2">
        <f t="shared" si="0"/>
        <v>-469900</v>
      </c>
    </row>
    <row r="50" spans="1:9" x14ac:dyDescent="0.2">
      <c r="A50" s="1">
        <v>244296</v>
      </c>
      <c r="B50" t="s">
        <v>74</v>
      </c>
      <c r="C50" t="s">
        <v>22</v>
      </c>
      <c r="D50" t="s">
        <v>83</v>
      </c>
      <c r="E50" t="s">
        <v>370</v>
      </c>
      <c r="F50" s="2">
        <v>670000</v>
      </c>
      <c r="H50" s="2">
        <v>-469900</v>
      </c>
      <c r="I50" s="2">
        <f t="shared" si="0"/>
        <v>670000</v>
      </c>
    </row>
    <row r="51" spans="1:9" x14ac:dyDescent="0.2">
      <c r="A51" s="1">
        <v>244296</v>
      </c>
      <c r="B51" t="s">
        <v>85</v>
      </c>
      <c r="C51" t="s">
        <v>22</v>
      </c>
      <c r="D51" t="s">
        <v>84</v>
      </c>
      <c r="E51" t="s">
        <v>372</v>
      </c>
      <c r="F51" s="2">
        <v>469900</v>
      </c>
      <c r="H51" s="2">
        <v>0</v>
      </c>
      <c r="I51" s="2">
        <f t="shared" si="0"/>
        <v>469900</v>
      </c>
    </row>
    <row r="52" spans="1:9" x14ac:dyDescent="0.2">
      <c r="A52" s="1">
        <v>244300</v>
      </c>
      <c r="B52" t="s">
        <v>87</v>
      </c>
      <c r="C52" t="s">
        <v>19</v>
      </c>
      <c r="D52" t="s">
        <v>86</v>
      </c>
      <c r="E52" t="s">
        <v>370</v>
      </c>
      <c r="G52" s="2">
        <v>670000</v>
      </c>
      <c r="H52" s="2">
        <v>-670000</v>
      </c>
      <c r="I52" s="2">
        <f t="shared" si="0"/>
        <v>-670000</v>
      </c>
    </row>
    <row r="53" spans="1:9" x14ac:dyDescent="0.2">
      <c r="A53" s="1">
        <v>244300</v>
      </c>
      <c r="B53" t="s">
        <v>74</v>
      </c>
      <c r="C53" t="s">
        <v>22</v>
      </c>
      <c r="D53" t="s">
        <v>88</v>
      </c>
      <c r="E53" t="s">
        <v>370</v>
      </c>
      <c r="F53" s="2">
        <v>670000</v>
      </c>
      <c r="H53" s="2">
        <v>0</v>
      </c>
      <c r="I53" s="2">
        <f t="shared" si="0"/>
        <v>670000</v>
      </c>
    </row>
    <row r="54" spans="1:9" x14ac:dyDescent="0.2">
      <c r="A54" s="1">
        <v>244307</v>
      </c>
      <c r="B54" t="s">
        <v>90</v>
      </c>
      <c r="C54" t="s">
        <v>19</v>
      </c>
      <c r="D54" t="s">
        <v>89</v>
      </c>
      <c r="E54" t="s">
        <v>373</v>
      </c>
      <c r="G54" s="2">
        <v>469900</v>
      </c>
      <c r="H54" s="2">
        <v>-469900</v>
      </c>
      <c r="I54" s="2">
        <f t="shared" si="0"/>
        <v>-469900</v>
      </c>
    </row>
    <row r="55" spans="1:9" x14ac:dyDescent="0.2">
      <c r="A55" s="1">
        <v>244307</v>
      </c>
      <c r="B55" t="s">
        <v>90</v>
      </c>
      <c r="C55" t="s">
        <v>19</v>
      </c>
      <c r="D55" t="s">
        <v>89</v>
      </c>
      <c r="E55" t="s">
        <v>373</v>
      </c>
      <c r="G55" s="2">
        <v>3264.57</v>
      </c>
      <c r="H55" s="2">
        <v>-473164.57</v>
      </c>
      <c r="I55" s="2">
        <f t="shared" si="0"/>
        <v>-3264.57</v>
      </c>
    </row>
    <row r="56" spans="1:9" x14ac:dyDescent="0.2">
      <c r="A56" s="1">
        <v>244307</v>
      </c>
      <c r="B56" t="s">
        <v>92</v>
      </c>
      <c r="C56" t="s">
        <v>22</v>
      </c>
      <c r="D56" t="s">
        <v>91</v>
      </c>
      <c r="E56" t="s">
        <v>373</v>
      </c>
      <c r="F56" s="2">
        <v>469900</v>
      </c>
      <c r="H56" s="2">
        <v>-3264.57</v>
      </c>
      <c r="I56" s="2">
        <f t="shared" si="0"/>
        <v>469900</v>
      </c>
    </row>
    <row r="57" spans="1:9" x14ac:dyDescent="0.2">
      <c r="A57" s="1">
        <v>244307</v>
      </c>
      <c r="B57" t="s">
        <v>92</v>
      </c>
      <c r="C57" t="s">
        <v>22</v>
      </c>
      <c r="D57" t="s">
        <v>91</v>
      </c>
      <c r="E57" t="s">
        <v>373</v>
      </c>
      <c r="F57" s="2">
        <v>3264.57</v>
      </c>
      <c r="H57" s="2">
        <v>0</v>
      </c>
      <c r="I57" s="2">
        <f t="shared" si="0"/>
        <v>3264.57</v>
      </c>
    </row>
    <row r="58" spans="1:9" x14ac:dyDescent="0.2">
      <c r="A58" s="1">
        <v>244309</v>
      </c>
      <c r="B58" t="s">
        <v>94</v>
      </c>
      <c r="C58" t="s">
        <v>19</v>
      </c>
      <c r="D58" t="s">
        <v>93</v>
      </c>
      <c r="E58" t="s">
        <v>374</v>
      </c>
      <c r="G58" s="2">
        <v>769900</v>
      </c>
      <c r="H58" s="2">
        <v>-769900</v>
      </c>
      <c r="I58" s="2">
        <f t="shared" si="0"/>
        <v>-769900</v>
      </c>
    </row>
    <row r="59" spans="1:9" x14ac:dyDescent="0.2">
      <c r="A59" s="1">
        <v>244309</v>
      </c>
      <c r="B59" t="s">
        <v>94</v>
      </c>
      <c r="C59" t="s">
        <v>19</v>
      </c>
      <c r="D59" t="s">
        <v>93</v>
      </c>
      <c r="E59" t="s">
        <v>374</v>
      </c>
      <c r="G59" s="2">
        <v>11569.91</v>
      </c>
      <c r="H59" s="2">
        <v>-781469.91</v>
      </c>
      <c r="I59" s="2">
        <f t="shared" si="0"/>
        <v>-11569.91</v>
      </c>
    </row>
    <row r="60" spans="1:9" x14ac:dyDescent="0.2">
      <c r="A60" s="1">
        <v>244309</v>
      </c>
      <c r="B60" t="s">
        <v>96</v>
      </c>
      <c r="C60" t="s">
        <v>22</v>
      </c>
      <c r="D60" t="s">
        <v>95</v>
      </c>
      <c r="E60" t="s">
        <v>374</v>
      </c>
      <c r="F60" s="2">
        <v>769900</v>
      </c>
      <c r="H60" s="2">
        <v>-11569.91</v>
      </c>
      <c r="I60" s="2">
        <f t="shared" si="0"/>
        <v>769900</v>
      </c>
    </row>
    <row r="61" spans="1:9" x14ac:dyDescent="0.2">
      <c r="A61" s="1">
        <v>244309</v>
      </c>
      <c r="B61" t="s">
        <v>96</v>
      </c>
      <c r="C61" t="s">
        <v>22</v>
      </c>
      <c r="D61" t="s">
        <v>95</v>
      </c>
      <c r="E61" t="s">
        <v>374</v>
      </c>
      <c r="F61" s="2">
        <v>11569.91</v>
      </c>
      <c r="H61" s="2">
        <v>0</v>
      </c>
      <c r="I61" s="2">
        <f t="shared" si="0"/>
        <v>11569.91</v>
      </c>
    </row>
    <row r="62" spans="1:9" x14ac:dyDescent="0.2">
      <c r="A62" s="1">
        <v>244310</v>
      </c>
      <c r="B62" t="s">
        <v>98</v>
      </c>
      <c r="C62" t="s">
        <v>19</v>
      </c>
      <c r="D62" t="s">
        <v>97</v>
      </c>
      <c r="E62" t="s">
        <v>375</v>
      </c>
      <c r="G62" s="2">
        <v>469900</v>
      </c>
      <c r="H62" s="2">
        <v>-469900</v>
      </c>
      <c r="I62" s="2">
        <f t="shared" si="0"/>
        <v>-469900</v>
      </c>
    </row>
    <row r="63" spans="1:9" x14ac:dyDescent="0.2">
      <c r="A63" s="1">
        <v>244310</v>
      </c>
      <c r="B63" t="s">
        <v>100</v>
      </c>
      <c r="C63" t="s">
        <v>19</v>
      </c>
      <c r="D63" t="s">
        <v>99</v>
      </c>
      <c r="E63" t="s">
        <v>376</v>
      </c>
      <c r="G63" s="2">
        <v>599900</v>
      </c>
      <c r="H63" s="2">
        <v>-1069800</v>
      </c>
      <c r="I63" s="2">
        <f t="shared" si="0"/>
        <v>-599900</v>
      </c>
    </row>
    <row r="64" spans="1:9" x14ac:dyDescent="0.2">
      <c r="A64" s="1">
        <v>244310</v>
      </c>
      <c r="B64" t="s">
        <v>102</v>
      </c>
      <c r="C64" t="s">
        <v>22</v>
      </c>
      <c r="D64" t="s">
        <v>101</v>
      </c>
      <c r="E64" t="s">
        <v>375</v>
      </c>
      <c r="F64" s="2">
        <v>469900</v>
      </c>
      <c r="H64" s="2">
        <v>-599900</v>
      </c>
      <c r="I64" s="2">
        <f t="shared" si="0"/>
        <v>469900</v>
      </c>
    </row>
    <row r="65" spans="1:9" x14ac:dyDescent="0.2">
      <c r="A65" s="1">
        <v>244310</v>
      </c>
      <c r="B65" t="s">
        <v>104</v>
      </c>
      <c r="C65" t="s">
        <v>22</v>
      </c>
      <c r="D65" t="s">
        <v>103</v>
      </c>
      <c r="E65" t="s">
        <v>376</v>
      </c>
      <c r="F65" s="2">
        <v>599900</v>
      </c>
      <c r="H65" s="2">
        <v>0</v>
      </c>
      <c r="I65" s="2">
        <f t="shared" si="0"/>
        <v>599900</v>
      </c>
    </row>
    <row r="66" spans="1:9" x14ac:dyDescent="0.2">
      <c r="A66" s="1">
        <v>244314</v>
      </c>
      <c r="B66" t="s">
        <v>106</v>
      </c>
      <c r="C66" t="s">
        <v>19</v>
      </c>
      <c r="D66" t="s">
        <v>105</v>
      </c>
      <c r="E66" t="s">
        <v>377</v>
      </c>
      <c r="G66" s="2">
        <v>2406.4299999999998</v>
      </c>
      <c r="H66" s="2">
        <v>-2406.4299999999998</v>
      </c>
      <c r="I66" s="2">
        <f t="shared" si="0"/>
        <v>-2406.4299999999998</v>
      </c>
    </row>
    <row r="67" spans="1:9" x14ac:dyDescent="0.2">
      <c r="A67" s="1">
        <v>244314</v>
      </c>
      <c r="B67" t="s">
        <v>106</v>
      </c>
      <c r="C67" t="s">
        <v>19</v>
      </c>
      <c r="D67" t="s">
        <v>105</v>
      </c>
      <c r="E67" t="s">
        <v>377</v>
      </c>
      <c r="G67" s="2">
        <v>619900</v>
      </c>
      <c r="H67" s="2">
        <v>-622306.43000000005</v>
      </c>
      <c r="I67" s="2">
        <f t="shared" ref="I67:I130" si="1">F67-G67</f>
        <v>-619900</v>
      </c>
    </row>
    <row r="68" spans="1:9" x14ac:dyDescent="0.2">
      <c r="A68" s="1">
        <v>244314</v>
      </c>
      <c r="B68" t="s">
        <v>108</v>
      </c>
      <c r="C68" t="s">
        <v>19</v>
      </c>
      <c r="D68" t="s">
        <v>107</v>
      </c>
      <c r="E68" t="s">
        <v>378</v>
      </c>
      <c r="G68" s="2">
        <v>469900</v>
      </c>
      <c r="H68" s="2">
        <v>-1092206.43</v>
      </c>
      <c r="I68" s="2">
        <f t="shared" si="1"/>
        <v>-469900</v>
      </c>
    </row>
    <row r="69" spans="1:9" x14ac:dyDescent="0.2">
      <c r="A69" s="1">
        <v>244314</v>
      </c>
      <c r="B69" t="s">
        <v>108</v>
      </c>
      <c r="C69" t="s">
        <v>19</v>
      </c>
      <c r="D69" t="s">
        <v>107</v>
      </c>
      <c r="E69" t="s">
        <v>378</v>
      </c>
      <c r="G69" s="2">
        <v>11087.97</v>
      </c>
      <c r="H69" s="2">
        <v>-1103294.3999999999</v>
      </c>
      <c r="I69" s="2">
        <f t="shared" si="1"/>
        <v>-11087.97</v>
      </c>
    </row>
    <row r="70" spans="1:9" x14ac:dyDescent="0.2">
      <c r="A70" s="1">
        <v>244314</v>
      </c>
      <c r="B70" t="s">
        <v>110</v>
      </c>
      <c r="C70" t="s">
        <v>22</v>
      </c>
      <c r="D70" t="s">
        <v>109</v>
      </c>
      <c r="E70" t="s">
        <v>377</v>
      </c>
      <c r="F70" s="2">
        <v>619900</v>
      </c>
      <c r="H70" s="2">
        <v>-483394.4</v>
      </c>
      <c r="I70" s="2">
        <f t="shared" si="1"/>
        <v>619900</v>
      </c>
    </row>
    <row r="71" spans="1:9" x14ac:dyDescent="0.2">
      <c r="A71" s="1">
        <v>244314</v>
      </c>
      <c r="B71" t="s">
        <v>110</v>
      </c>
      <c r="C71" t="s">
        <v>22</v>
      </c>
      <c r="D71" t="s">
        <v>109</v>
      </c>
      <c r="E71" t="s">
        <v>377</v>
      </c>
      <c r="F71" s="2">
        <v>2406.4299999999998</v>
      </c>
      <c r="H71" s="2">
        <v>-480987.97</v>
      </c>
      <c r="I71" s="2">
        <f t="shared" si="1"/>
        <v>2406.4299999999998</v>
      </c>
    </row>
    <row r="72" spans="1:9" x14ac:dyDescent="0.2">
      <c r="A72" s="1">
        <v>244314</v>
      </c>
      <c r="B72" t="s">
        <v>112</v>
      </c>
      <c r="C72" t="s">
        <v>22</v>
      </c>
      <c r="D72" t="s">
        <v>111</v>
      </c>
      <c r="E72" t="s">
        <v>378</v>
      </c>
      <c r="F72" s="2">
        <v>469900</v>
      </c>
      <c r="H72" s="2">
        <v>-11087.97</v>
      </c>
      <c r="I72" s="2">
        <f t="shared" si="1"/>
        <v>469900</v>
      </c>
    </row>
    <row r="73" spans="1:9" x14ac:dyDescent="0.2">
      <c r="A73" s="1">
        <v>244314</v>
      </c>
      <c r="B73" t="s">
        <v>112</v>
      </c>
      <c r="C73" t="s">
        <v>22</v>
      </c>
      <c r="D73" t="s">
        <v>111</v>
      </c>
      <c r="E73" t="s">
        <v>378</v>
      </c>
      <c r="F73" s="2">
        <v>11087.97</v>
      </c>
      <c r="H73" s="2">
        <v>0</v>
      </c>
      <c r="I73" s="2">
        <f t="shared" si="1"/>
        <v>11087.97</v>
      </c>
    </row>
    <row r="74" spans="1:9" x14ac:dyDescent="0.2">
      <c r="A74" s="1">
        <v>244315</v>
      </c>
      <c r="B74" t="s">
        <v>114</v>
      </c>
      <c r="C74" t="s">
        <v>19</v>
      </c>
      <c r="D74" t="s">
        <v>113</v>
      </c>
      <c r="E74" t="s">
        <v>379</v>
      </c>
      <c r="G74" s="2">
        <v>899900</v>
      </c>
      <c r="H74" s="2">
        <v>-899900</v>
      </c>
      <c r="I74" s="2">
        <f t="shared" si="1"/>
        <v>-899900</v>
      </c>
    </row>
    <row r="75" spans="1:9" x14ac:dyDescent="0.2">
      <c r="A75" s="1">
        <v>244315</v>
      </c>
      <c r="B75" t="s">
        <v>116</v>
      </c>
      <c r="C75" t="s">
        <v>19</v>
      </c>
      <c r="D75" t="s">
        <v>115</v>
      </c>
      <c r="E75" t="s">
        <v>380</v>
      </c>
      <c r="G75" s="2">
        <v>769900</v>
      </c>
      <c r="H75" s="2">
        <v>-1669800</v>
      </c>
      <c r="I75" s="2">
        <f t="shared" si="1"/>
        <v>-769900</v>
      </c>
    </row>
    <row r="76" spans="1:9" x14ac:dyDescent="0.2">
      <c r="A76" s="1">
        <v>244315</v>
      </c>
      <c r="B76" t="s">
        <v>116</v>
      </c>
      <c r="C76" t="s">
        <v>19</v>
      </c>
      <c r="D76" t="s">
        <v>115</v>
      </c>
      <c r="E76" t="s">
        <v>380</v>
      </c>
      <c r="G76" s="2">
        <v>13651.17</v>
      </c>
      <c r="H76" s="2">
        <v>-1683451.17</v>
      </c>
      <c r="I76" s="2">
        <f t="shared" si="1"/>
        <v>-13651.17</v>
      </c>
    </row>
    <row r="77" spans="1:9" x14ac:dyDescent="0.2">
      <c r="A77" s="1">
        <v>244315</v>
      </c>
      <c r="B77" t="s">
        <v>118</v>
      </c>
      <c r="C77" t="s">
        <v>19</v>
      </c>
      <c r="D77" t="s">
        <v>117</v>
      </c>
      <c r="E77" t="s">
        <v>381</v>
      </c>
      <c r="G77" s="2">
        <v>619900</v>
      </c>
      <c r="H77" s="2">
        <v>-2303351.17</v>
      </c>
      <c r="I77" s="2">
        <f t="shared" si="1"/>
        <v>-619900</v>
      </c>
    </row>
    <row r="78" spans="1:9" x14ac:dyDescent="0.2">
      <c r="A78" s="1">
        <v>244315</v>
      </c>
      <c r="B78" t="s">
        <v>120</v>
      </c>
      <c r="C78" t="s">
        <v>22</v>
      </c>
      <c r="D78" t="s">
        <v>119</v>
      </c>
      <c r="E78" t="s">
        <v>379</v>
      </c>
      <c r="F78" s="2">
        <v>899900</v>
      </c>
      <c r="H78" s="2">
        <v>-1403451.17</v>
      </c>
      <c r="I78" s="2">
        <f t="shared" si="1"/>
        <v>899900</v>
      </c>
    </row>
    <row r="79" spans="1:9" x14ac:dyDescent="0.2">
      <c r="A79" s="1">
        <v>244315</v>
      </c>
      <c r="B79" t="s">
        <v>122</v>
      </c>
      <c r="C79" t="s">
        <v>22</v>
      </c>
      <c r="D79" t="s">
        <v>121</v>
      </c>
      <c r="E79" t="s">
        <v>380</v>
      </c>
      <c r="F79" s="2">
        <v>769900</v>
      </c>
      <c r="H79" s="2">
        <v>-633551.17000000004</v>
      </c>
      <c r="I79" s="2">
        <f t="shared" si="1"/>
        <v>769900</v>
      </c>
    </row>
    <row r="80" spans="1:9" x14ac:dyDescent="0.2">
      <c r="A80" s="1">
        <v>244315</v>
      </c>
      <c r="B80" t="s">
        <v>122</v>
      </c>
      <c r="C80" t="s">
        <v>22</v>
      </c>
      <c r="D80" t="s">
        <v>121</v>
      </c>
      <c r="E80" t="s">
        <v>380</v>
      </c>
      <c r="F80" s="2">
        <v>13651.17</v>
      </c>
      <c r="H80" s="2">
        <v>-619900</v>
      </c>
      <c r="I80" s="2">
        <f t="shared" si="1"/>
        <v>13651.17</v>
      </c>
    </row>
    <row r="81" spans="1:9" x14ac:dyDescent="0.2">
      <c r="A81" s="1">
        <v>244315</v>
      </c>
      <c r="B81" t="s">
        <v>124</v>
      </c>
      <c r="C81" t="s">
        <v>22</v>
      </c>
      <c r="D81" t="s">
        <v>123</v>
      </c>
      <c r="E81" t="s">
        <v>381</v>
      </c>
      <c r="F81" s="2">
        <v>619900</v>
      </c>
      <c r="H81" s="2">
        <v>0</v>
      </c>
      <c r="I81" s="2">
        <f t="shared" si="1"/>
        <v>619900</v>
      </c>
    </row>
    <row r="82" spans="1:9" x14ac:dyDescent="0.2">
      <c r="A82" s="1">
        <v>244316</v>
      </c>
      <c r="B82" t="s">
        <v>126</v>
      </c>
      <c r="C82" t="s">
        <v>19</v>
      </c>
      <c r="D82" t="s">
        <v>125</v>
      </c>
      <c r="E82" t="s">
        <v>382</v>
      </c>
      <c r="G82" s="2">
        <v>469900</v>
      </c>
      <c r="H82" s="2">
        <v>-469900</v>
      </c>
      <c r="I82" s="2">
        <f t="shared" si="1"/>
        <v>-469900</v>
      </c>
    </row>
    <row r="83" spans="1:9" x14ac:dyDescent="0.2">
      <c r="A83" s="1">
        <v>244316</v>
      </c>
      <c r="B83" t="s">
        <v>126</v>
      </c>
      <c r="C83" t="s">
        <v>19</v>
      </c>
      <c r="D83" t="s">
        <v>125</v>
      </c>
      <c r="E83" t="s">
        <v>382</v>
      </c>
      <c r="G83" s="2">
        <v>7502.84</v>
      </c>
      <c r="H83" s="2">
        <v>-477402.84</v>
      </c>
      <c r="I83" s="2">
        <f t="shared" si="1"/>
        <v>-7502.84</v>
      </c>
    </row>
    <row r="84" spans="1:9" x14ac:dyDescent="0.2">
      <c r="A84" s="1">
        <v>244316</v>
      </c>
      <c r="B84" t="s">
        <v>128</v>
      </c>
      <c r="C84" t="s">
        <v>22</v>
      </c>
      <c r="D84" t="s">
        <v>127</v>
      </c>
      <c r="E84" t="s">
        <v>383</v>
      </c>
      <c r="F84" s="2">
        <v>469900</v>
      </c>
      <c r="H84" s="2">
        <v>-7502.84</v>
      </c>
      <c r="I84" s="2">
        <f t="shared" si="1"/>
        <v>469900</v>
      </c>
    </row>
    <row r="85" spans="1:9" x14ac:dyDescent="0.2">
      <c r="A85" s="1">
        <v>244317</v>
      </c>
      <c r="B85" t="s">
        <v>130</v>
      </c>
      <c r="C85" t="s">
        <v>22</v>
      </c>
      <c r="D85" t="s">
        <v>129</v>
      </c>
      <c r="E85" t="s">
        <v>384</v>
      </c>
      <c r="F85" s="2">
        <v>599900</v>
      </c>
      <c r="H85" s="2">
        <v>592397.16</v>
      </c>
      <c r="I85" s="2">
        <f t="shared" si="1"/>
        <v>599900</v>
      </c>
    </row>
    <row r="86" spans="1:9" x14ac:dyDescent="0.2">
      <c r="A86" s="1">
        <v>244317</v>
      </c>
      <c r="B86" t="s">
        <v>132</v>
      </c>
      <c r="C86" t="s">
        <v>22</v>
      </c>
      <c r="D86" t="s">
        <v>131</v>
      </c>
      <c r="E86" t="s">
        <v>385</v>
      </c>
      <c r="F86" s="2">
        <v>469900</v>
      </c>
      <c r="H86" s="2">
        <v>1062297.1599999999</v>
      </c>
      <c r="I86" s="2">
        <f t="shared" si="1"/>
        <v>469900</v>
      </c>
    </row>
    <row r="87" spans="1:9" x14ac:dyDescent="0.2">
      <c r="A87" s="1">
        <v>244317</v>
      </c>
      <c r="B87" t="s">
        <v>134</v>
      </c>
      <c r="C87" t="s">
        <v>22</v>
      </c>
      <c r="D87" t="s">
        <v>133</v>
      </c>
      <c r="E87" t="s">
        <v>386</v>
      </c>
      <c r="F87" s="2">
        <v>599900</v>
      </c>
      <c r="H87" s="2">
        <v>1662197.16</v>
      </c>
      <c r="I87" s="2">
        <f t="shared" si="1"/>
        <v>599900</v>
      </c>
    </row>
    <row r="88" spans="1:9" x14ac:dyDescent="0.2">
      <c r="A88" s="1">
        <v>244319</v>
      </c>
      <c r="B88" t="s">
        <v>136</v>
      </c>
      <c r="C88" t="s">
        <v>19</v>
      </c>
      <c r="D88" t="s">
        <v>135</v>
      </c>
      <c r="E88" t="s">
        <v>383</v>
      </c>
      <c r="G88" s="2">
        <v>469900</v>
      </c>
      <c r="H88" s="2">
        <v>1192297.1599999999</v>
      </c>
      <c r="I88" s="2">
        <f t="shared" si="1"/>
        <v>-469900</v>
      </c>
    </row>
    <row r="89" spans="1:9" x14ac:dyDescent="0.2">
      <c r="A89" s="1">
        <v>244322</v>
      </c>
      <c r="B89" t="s">
        <v>138</v>
      </c>
      <c r="C89" t="s">
        <v>19</v>
      </c>
      <c r="D89" t="s">
        <v>137</v>
      </c>
      <c r="E89" t="s">
        <v>386</v>
      </c>
      <c r="G89" s="2">
        <v>599900</v>
      </c>
      <c r="H89" s="2">
        <v>592397.16</v>
      </c>
      <c r="I89" s="2">
        <f t="shared" si="1"/>
        <v>-599900</v>
      </c>
    </row>
    <row r="90" spans="1:9" x14ac:dyDescent="0.2">
      <c r="A90" s="1">
        <v>244322</v>
      </c>
      <c r="B90" t="s">
        <v>138</v>
      </c>
      <c r="C90" t="s">
        <v>19</v>
      </c>
      <c r="D90" t="s">
        <v>137</v>
      </c>
      <c r="E90" t="s">
        <v>386</v>
      </c>
      <c r="G90" s="2">
        <v>2707.1</v>
      </c>
      <c r="H90" s="2">
        <v>589690.06000000006</v>
      </c>
      <c r="I90" s="2">
        <f t="shared" si="1"/>
        <v>-2707.1</v>
      </c>
    </row>
    <row r="91" spans="1:9" x14ac:dyDescent="0.2">
      <c r="A91" s="1">
        <v>244324</v>
      </c>
      <c r="B91" t="s">
        <v>140</v>
      </c>
      <c r="C91" t="s">
        <v>19</v>
      </c>
      <c r="D91" t="s">
        <v>139</v>
      </c>
      <c r="E91" t="s">
        <v>387</v>
      </c>
      <c r="G91" s="2">
        <v>619900</v>
      </c>
      <c r="H91" s="2">
        <v>-30209.94</v>
      </c>
      <c r="I91" s="2">
        <f t="shared" si="1"/>
        <v>-619900</v>
      </c>
    </row>
    <row r="92" spans="1:9" x14ac:dyDescent="0.2">
      <c r="A92" s="1">
        <v>244326</v>
      </c>
      <c r="B92" t="s">
        <v>142</v>
      </c>
      <c r="C92" t="s">
        <v>19</v>
      </c>
      <c r="D92" t="s">
        <v>141</v>
      </c>
      <c r="E92" t="s">
        <v>388</v>
      </c>
      <c r="G92" s="2">
        <v>469900</v>
      </c>
      <c r="H92" s="2">
        <v>-500109.94</v>
      </c>
      <c r="I92" s="2">
        <f t="shared" si="1"/>
        <v>-469900</v>
      </c>
    </row>
    <row r="93" spans="1:9" x14ac:dyDescent="0.2">
      <c r="A93" s="1">
        <v>244327</v>
      </c>
      <c r="B93" t="s">
        <v>144</v>
      </c>
      <c r="C93" t="s">
        <v>19</v>
      </c>
      <c r="D93" t="s">
        <v>143</v>
      </c>
      <c r="E93" t="s">
        <v>389</v>
      </c>
      <c r="G93" s="2">
        <v>469900</v>
      </c>
      <c r="H93" s="2">
        <v>-970009.94</v>
      </c>
      <c r="I93" s="2">
        <f t="shared" si="1"/>
        <v>-469900</v>
      </c>
    </row>
    <row r="94" spans="1:9" x14ac:dyDescent="0.2">
      <c r="A94" s="1">
        <v>244327</v>
      </c>
      <c r="B94" t="s">
        <v>144</v>
      </c>
      <c r="C94" t="s">
        <v>19</v>
      </c>
      <c r="D94" t="s">
        <v>143</v>
      </c>
      <c r="E94" t="s">
        <v>389</v>
      </c>
      <c r="G94" s="2">
        <v>9309</v>
      </c>
      <c r="H94" s="2">
        <v>-979318.94</v>
      </c>
      <c r="I94" s="2">
        <f t="shared" si="1"/>
        <v>-9309</v>
      </c>
    </row>
    <row r="95" spans="1:9" x14ac:dyDescent="0.2">
      <c r="A95" s="1">
        <v>244327</v>
      </c>
      <c r="B95" t="s">
        <v>146</v>
      </c>
      <c r="C95" t="s">
        <v>19</v>
      </c>
      <c r="D95" t="s">
        <v>145</v>
      </c>
      <c r="E95" t="s">
        <v>390</v>
      </c>
      <c r="G95" s="2">
        <v>599900</v>
      </c>
      <c r="H95" s="2">
        <v>-1579218.94</v>
      </c>
      <c r="I95" s="2">
        <f t="shared" si="1"/>
        <v>-599900</v>
      </c>
    </row>
    <row r="96" spans="1:9" x14ac:dyDescent="0.2">
      <c r="A96" s="1">
        <v>244327</v>
      </c>
      <c r="B96" t="s">
        <v>146</v>
      </c>
      <c r="C96" t="s">
        <v>19</v>
      </c>
      <c r="D96" t="s">
        <v>145</v>
      </c>
      <c r="E96" t="s">
        <v>390</v>
      </c>
      <c r="G96" s="2">
        <v>13327.92</v>
      </c>
      <c r="H96" s="2">
        <v>-1592546.86</v>
      </c>
      <c r="I96" s="2">
        <f t="shared" si="1"/>
        <v>-13327.92</v>
      </c>
    </row>
    <row r="97" spans="1:9" x14ac:dyDescent="0.2">
      <c r="A97" s="1">
        <v>244327</v>
      </c>
      <c r="B97" t="s">
        <v>148</v>
      </c>
      <c r="C97" t="s">
        <v>19</v>
      </c>
      <c r="D97" t="s">
        <v>147</v>
      </c>
      <c r="E97" t="s">
        <v>391</v>
      </c>
      <c r="G97" s="2">
        <v>769900</v>
      </c>
      <c r="H97" s="2">
        <v>-2362446.86</v>
      </c>
      <c r="I97" s="2">
        <f t="shared" si="1"/>
        <v>-769900</v>
      </c>
    </row>
    <row r="98" spans="1:9" x14ac:dyDescent="0.2">
      <c r="A98" s="1">
        <v>244327</v>
      </c>
      <c r="B98" t="s">
        <v>148</v>
      </c>
      <c r="C98" t="s">
        <v>19</v>
      </c>
      <c r="D98" t="s">
        <v>147</v>
      </c>
      <c r="E98" t="s">
        <v>391</v>
      </c>
      <c r="G98" s="2">
        <v>3658.33</v>
      </c>
      <c r="H98" s="2">
        <v>-2366105.19</v>
      </c>
      <c r="I98" s="2">
        <f t="shared" si="1"/>
        <v>-3658.33</v>
      </c>
    </row>
    <row r="99" spans="1:9" x14ac:dyDescent="0.2">
      <c r="A99" s="1">
        <v>244327</v>
      </c>
      <c r="B99" t="s">
        <v>150</v>
      </c>
      <c r="C99" t="s">
        <v>19</v>
      </c>
      <c r="D99" t="s">
        <v>149</v>
      </c>
      <c r="E99" t="s">
        <v>385</v>
      </c>
      <c r="G99" s="2">
        <v>469900</v>
      </c>
      <c r="H99" s="2">
        <v>-2836005.19</v>
      </c>
      <c r="I99" s="2">
        <f t="shared" si="1"/>
        <v>-469900</v>
      </c>
    </row>
    <row r="100" spans="1:9" x14ac:dyDescent="0.2">
      <c r="A100" s="1">
        <v>244327</v>
      </c>
      <c r="B100" t="s">
        <v>150</v>
      </c>
      <c r="C100" t="s">
        <v>19</v>
      </c>
      <c r="D100" t="s">
        <v>149</v>
      </c>
      <c r="E100" t="s">
        <v>385</v>
      </c>
      <c r="G100" s="2">
        <v>10335.129999999999</v>
      </c>
      <c r="H100" s="2">
        <v>-2846340.32</v>
      </c>
      <c r="I100" s="2">
        <f t="shared" si="1"/>
        <v>-10335.129999999999</v>
      </c>
    </row>
    <row r="101" spans="1:9" x14ac:dyDescent="0.2">
      <c r="A101" s="1">
        <v>244330</v>
      </c>
      <c r="B101" t="s">
        <v>152</v>
      </c>
      <c r="C101" t="s">
        <v>19</v>
      </c>
      <c r="D101" t="s">
        <v>151</v>
      </c>
      <c r="E101" t="s">
        <v>392</v>
      </c>
      <c r="G101" s="2">
        <v>899900</v>
      </c>
      <c r="H101" s="2">
        <v>-3746240.32</v>
      </c>
      <c r="I101" s="2">
        <f t="shared" si="1"/>
        <v>-899900</v>
      </c>
    </row>
    <row r="102" spans="1:9" x14ac:dyDescent="0.2">
      <c r="A102" s="1">
        <v>244331</v>
      </c>
      <c r="B102" t="s">
        <v>154</v>
      </c>
      <c r="C102" t="s">
        <v>19</v>
      </c>
      <c r="D102" t="s">
        <v>153</v>
      </c>
      <c r="E102" t="s">
        <v>393</v>
      </c>
      <c r="G102" s="2">
        <v>619900</v>
      </c>
      <c r="H102" s="2">
        <v>-4366140.32</v>
      </c>
      <c r="I102" s="2">
        <f t="shared" si="1"/>
        <v>-619900</v>
      </c>
    </row>
    <row r="103" spans="1:9" x14ac:dyDescent="0.2">
      <c r="A103" s="1">
        <v>244333</v>
      </c>
      <c r="B103" t="s">
        <v>156</v>
      </c>
      <c r="C103" t="s">
        <v>19</v>
      </c>
      <c r="D103" t="s">
        <v>155</v>
      </c>
      <c r="E103" t="s">
        <v>394</v>
      </c>
      <c r="G103" s="2">
        <v>599900</v>
      </c>
      <c r="H103" s="2">
        <v>-4966040.32</v>
      </c>
      <c r="I103" s="2">
        <f t="shared" si="1"/>
        <v>-599900</v>
      </c>
    </row>
    <row r="104" spans="1:9" x14ac:dyDescent="0.2">
      <c r="A104" s="1">
        <v>244334</v>
      </c>
      <c r="B104" t="s">
        <v>158</v>
      </c>
      <c r="C104" t="s">
        <v>19</v>
      </c>
      <c r="D104" t="s">
        <v>157</v>
      </c>
      <c r="E104" t="s">
        <v>395</v>
      </c>
      <c r="G104" s="2">
        <v>599900</v>
      </c>
      <c r="H104" s="2">
        <v>-5565940.3200000003</v>
      </c>
      <c r="I104" s="2">
        <f t="shared" si="1"/>
        <v>-599900</v>
      </c>
    </row>
    <row r="105" spans="1:9" x14ac:dyDescent="0.2">
      <c r="A105" s="1">
        <v>244334</v>
      </c>
      <c r="B105" t="s">
        <v>158</v>
      </c>
      <c r="C105" t="s">
        <v>19</v>
      </c>
      <c r="D105" t="s">
        <v>157</v>
      </c>
      <c r="E105" t="s">
        <v>395</v>
      </c>
      <c r="G105" s="2">
        <v>2406.4299999999998</v>
      </c>
      <c r="H105" s="2">
        <v>-5568346.75</v>
      </c>
      <c r="I105" s="2">
        <f t="shared" si="1"/>
        <v>-2406.4299999999998</v>
      </c>
    </row>
    <row r="106" spans="1:9" x14ac:dyDescent="0.2">
      <c r="A106" s="1">
        <v>244334</v>
      </c>
      <c r="B106" t="s">
        <v>160</v>
      </c>
      <c r="C106" t="s">
        <v>19</v>
      </c>
      <c r="D106" t="s">
        <v>159</v>
      </c>
      <c r="E106" t="s">
        <v>396</v>
      </c>
      <c r="G106" s="2">
        <v>869900</v>
      </c>
      <c r="H106" s="2">
        <v>-6438246.75</v>
      </c>
      <c r="I106" s="2">
        <f t="shared" si="1"/>
        <v>-869900</v>
      </c>
    </row>
    <row r="107" spans="1:9" x14ac:dyDescent="0.2">
      <c r="A107" s="1">
        <v>244334</v>
      </c>
      <c r="B107" t="s">
        <v>162</v>
      </c>
      <c r="C107" t="s">
        <v>19</v>
      </c>
      <c r="D107" t="s">
        <v>161</v>
      </c>
      <c r="E107" t="s">
        <v>397</v>
      </c>
      <c r="G107" s="2">
        <v>899900</v>
      </c>
      <c r="H107" s="2">
        <v>-7338146.75</v>
      </c>
      <c r="I107" s="2">
        <f t="shared" si="1"/>
        <v>-899900</v>
      </c>
    </row>
    <row r="108" spans="1:9" x14ac:dyDescent="0.2">
      <c r="A108" s="1">
        <v>244334</v>
      </c>
      <c r="B108" t="s">
        <v>162</v>
      </c>
      <c r="C108" t="s">
        <v>19</v>
      </c>
      <c r="D108" t="s">
        <v>161</v>
      </c>
      <c r="E108" t="s">
        <v>397</v>
      </c>
      <c r="G108" s="2">
        <v>9478.06</v>
      </c>
      <c r="H108" s="2">
        <v>-7347624.8099999996</v>
      </c>
      <c r="I108" s="2">
        <f t="shared" si="1"/>
        <v>-9478.06</v>
      </c>
    </row>
    <row r="109" spans="1:9" x14ac:dyDescent="0.2">
      <c r="A109" s="1">
        <v>244334</v>
      </c>
      <c r="B109" t="s">
        <v>164</v>
      </c>
      <c r="C109" t="s">
        <v>19</v>
      </c>
      <c r="D109" t="s">
        <v>163</v>
      </c>
      <c r="E109" t="s">
        <v>398</v>
      </c>
      <c r="G109" s="2">
        <v>769900</v>
      </c>
      <c r="H109" s="2">
        <v>-8117524.8099999996</v>
      </c>
      <c r="I109" s="2">
        <f t="shared" si="1"/>
        <v>-769900</v>
      </c>
    </row>
    <row r="110" spans="1:9" x14ac:dyDescent="0.2">
      <c r="A110" s="1">
        <v>244334</v>
      </c>
      <c r="B110" t="s">
        <v>164</v>
      </c>
      <c r="C110" t="s">
        <v>19</v>
      </c>
      <c r="D110" t="s">
        <v>163</v>
      </c>
      <c r="E110" t="s">
        <v>398</v>
      </c>
      <c r="G110" s="2">
        <v>14272.52</v>
      </c>
      <c r="H110" s="2">
        <v>-8131797.3300000001</v>
      </c>
      <c r="I110" s="2">
        <f t="shared" si="1"/>
        <v>-14272.52</v>
      </c>
    </row>
    <row r="111" spans="1:9" x14ac:dyDescent="0.2">
      <c r="A111" s="1">
        <v>244335</v>
      </c>
      <c r="B111" t="s">
        <v>166</v>
      </c>
      <c r="C111" t="s">
        <v>19</v>
      </c>
      <c r="D111" t="s">
        <v>165</v>
      </c>
      <c r="E111" t="s">
        <v>399</v>
      </c>
      <c r="G111" s="2">
        <v>896900</v>
      </c>
      <c r="H111" s="2">
        <v>-9028697.3300000001</v>
      </c>
      <c r="I111" s="2">
        <f t="shared" si="1"/>
        <v>-896900</v>
      </c>
    </row>
    <row r="112" spans="1:9" x14ac:dyDescent="0.2">
      <c r="A112" s="1">
        <v>244335</v>
      </c>
      <c r="B112" t="s">
        <v>168</v>
      </c>
      <c r="C112" t="s">
        <v>19</v>
      </c>
      <c r="D112" t="s">
        <v>167</v>
      </c>
      <c r="E112" t="s">
        <v>384</v>
      </c>
      <c r="G112" s="2">
        <v>9470.57</v>
      </c>
      <c r="H112" s="2">
        <v>-9038167.9000000004</v>
      </c>
      <c r="I112" s="2">
        <f t="shared" si="1"/>
        <v>-9470.57</v>
      </c>
    </row>
    <row r="113" spans="1:9" x14ac:dyDescent="0.2">
      <c r="A113" s="1">
        <v>244335</v>
      </c>
      <c r="B113" t="s">
        <v>168</v>
      </c>
      <c r="C113" t="s">
        <v>19</v>
      </c>
      <c r="D113" t="s">
        <v>167</v>
      </c>
      <c r="E113" t="s">
        <v>384</v>
      </c>
      <c r="G113" s="2">
        <v>599900</v>
      </c>
      <c r="H113" s="2">
        <v>-9638067.9000000004</v>
      </c>
      <c r="I113" s="2">
        <f t="shared" si="1"/>
        <v>-599900</v>
      </c>
    </row>
    <row r="114" spans="1:9" x14ac:dyDescent="0.2">
      <c r="A114" s="1">
        <v>244336</v>
      </c>
      <c r="B114" t="s">
        <v>170</v>
      </c>
      <c r="C114" t="s">
        <v>19</v>
      </c>
      <c r="D114" t="s">
        <v>169</v>
      </c>
      <c r="E114" t="s">
        <v>400</v>
      </c>
      <c r="G114" s="2">
        <v>589900</v>
      </c>
      <c r="H114" s="2">
        <v>-10227967.9</v>
      </c>
      <c r="I114" s="2">
        <f t="shared" si="1"/>
        <v>-589900</v>
      </c>
    </row>
    <row r="115" spans="1:9" x14ac:dyDescent="0.2">
      <c r="A115" s="1">
        <v>244336</v>
      </c>
      <c r="B115" t="s">
        <v>172</v>
      </c>
      <c r="C115" t="s">
        <v>19</v>
      </c>
      <c r="D115" t="s">
        <v>171</v>
      </c>
      <c r="E115" t="s">
        <v>401</v>
      </c>
      <c r="G115" s="2">
        <v>899900</v>
      </c>
      <c r="H115" s="2">
        <v>-11127867.9</v>
      </c>
      <c r="I115" s="2">
        <f t="shared" si="1"/>
        <v>-899900</v>
      </c>
    </row>
    <row r="116" spans="1:9" x14ac:dyDescent="0.2">
      <c r="A116" s="1">
        <v>244336</v>
      </c>
      <c r="B116" t="s">
        <v>172</v>
      </c>
      <c r="C116" t="s">
        <v>19</v>
      </c>
      <c r="D116" t="s">
        <v>171</v>
      </c>
      <c r="E116" t="s">
        <v>401</v>
      </c>
      <c r="G116" s="2">
        <v>17909.66</v>
      </c>
      <c r="H116" s="2">
        <v>-11145777.560000001</v>
      </c>
      <c r="I116" s="2">
        <f t="shared" si="1"/>
        <v>-17909.66</v>
      </c>
    </row>
    <row r="117" spans="1:9" x14ac:dyDescent="0.2">
      <c r="A117" s="1">
        <v>244337</v>
      </c>
      <c r="B117" t="s">
        <v>174</v>
      </c>
      <c r="C117" t="s">
        <v>19</v>
      </c>
      <c r="D117" t="s">
        <v>173</v>
      </c>
      <c r="E117" t="s">
        <v>402</v>
      </c>
      <c r="G117" s="2">
        <v>866900</v>
      </c>
      <c r="H117" s="2">
        <v>-12012677.560000001</v>
      </c>
      <c r="I117" s="2">
        <f t="shared" si="1"/>
        <v>-866900</v>
      </c>
    </row>
    <row r="118" spans="1:9" x14ac:dyDescent="0.2">
      <c r="A118" s="1">
        <v>244337</v>
      </c>
      <c r="B118" t="s">
        <v>176</v>
      </c>
      <c r="C118" t="s">
        <v>19</v>
      </c>
      <c r="D118" t="s">
        <v>175</v>
      </c>
      <c r="E118" t="s">
        <v>403</v>
      </c>
      <c r="G118" s="2">
        <v>616900</v>
      </c>
      <c r="H118" s="2">
        <v>-12629577.560000001</v>
      </c>
      <c r="I118" s="2">
        <f t="shared" si="1"/>
        <v>-616900</v>
      </c>
    </row>
    <row r="119" spans="1:9" x14ac:dyDescent="0.2">
      <c r="A119" s="1">
        <v>244337</v>
      </c>
      <c r="B119" t="s">
        <v>178</v>
      </c>
      <c r="C119" t="s">
        <v>19</v>
      </c>
      <c r="D119" t="s">
        <v>177</v>
      </c>
      <c r="E119" t="s">
        <v>404</v>
      </c>
      <c r="G119" s="2">
        <v>619900</v>
      </c>
      <c r="H119" s="2">
        <v>-13249477.560000001</v>
      </c>
      <c r="I119" s="2">
        <f t="shared" si="1"/>
        <v>-619900</v>
      </c>
    </row>
    <row r="120" spans="1:9" x14ac:dyDescent="0.2">
      <c r="A120" s="1">
        <v>244337</v>
      </c>
      <c r="B120" t="s">
        <v>178</v>
      </c>
      <c r="C120" t="s">
        <v>19</v>
      </c>
      <c r="D120" t="s">
        <v>177</v>
      </c>
      <c r="E120" t="s">
        <v>404</v>
      </c>
      <c r="G120" s="2">
        <v>2406.4299999999998</v>
      </c>
      <c r="H120" s="2">
        <v>-13251883.99</v>
      </c>
      <c r="I120" s="2">
        <f t="shared" si="1"/>
        <v>-2406.4299999999998</v>
      </c>
    </row>
    <row r="121" spans="1:9" x14ac:dyDescent="0.2">
      <c r="A121" s="1">
        <v>244337</v>
      </c>
      <c r="B121" t="s">
        <v>180</v>
      </c>
      <c r="C121" t="s">
        <v>19</v>
      </c>
      <c r="D121" t="s">
        <v>179</v>
      </c>
      <c r="E121" t="s">
        <v>405</v>
      </c>
      <c r="G121" s="2">
        <v>599900</v>
      </c>
      <c r="H121" s="2">
        <v>-13851783.99</v>
      </c>
      <c r="I121" s="2">
        <f t="shared" si="1"/>
        <v>-599900</v>
      </c>
    </row>
    <row r="122" spans="1:9" x14ac:dyDescent="0.2">
      <c r="A122" s="1">
        <v>244337</v>
      </c>
      <c r="B122" t="s">
        <v>180</v>
      </c>
      <c r="C122" t="s">
        <v>19</v>
      </c>
      <c r="D122" t="s">
        <v>179</v>
      </c>
      <c r="E122" t="s">
        <v>405</v>
      </c>
      <c r="G122" s="2">
        <v>8395.2199999999993</v>
      </c>
      <c r="H122" s="2">
        <v>-13860179.210000001</v>
      </c>
      <c r="I122" s="2">
        <f t="shared" si="1"/>
        <v>-8395.2199999999993</v>
      </c>
    </row>
    <row r="123" spans="1:9" x14ac:dyDescent="0.2">
      <c r="A123" s="1">
        <v>244337</v>
      </c>
      <c r="B123" t="s">
        <v>182</v>
      </c>
      <c r="C123" t="s">
        <v>19</v>
      </c>
      <c r="D123" t="s">
        <v>181</v>
      </c>
      <c r="E123" t="s">
        <v>406</v>
      </c>
      <c r="G123" s="2">
        <v>619900</v>
      </c>
      <c r="H123" s="2">
        <v>-14480079.210000001</v>
      </c>
      <c r="I123" s="2">
        <f t="shared" si="1"/>
        <v>-619900</v>
      </c>
    </row>
    <row r="124" spans="1:9" x14ac:dyDescent="0.2">
      <c r="A124" s="1">
        <v>244337</v>
      </c>
      <c r="B124" t="s">
        <v>182</v>
      </c>
      <c r="C124" t="s">
        <v>19</v>
      </c>
      <c r="D124" t="s">
        <v>181</v>
      </c>
      <c r="E124" t="s">
        <v>406</v>
      </c>
      <c r="G124" s="2">
        <v>10845.52</v>
      </c>
      <c r="H124" s="2">
        <v>-14490924.73</v>
      </c>
      <c r="I124" s="2">
        <f t="shared" si="1"/>
        <v>-10845.52</v>
      </c>
    </row>
    <row r="125" spans="1:9" x14ac:dyDescent="0.2">
      <c r="A125" s="1">
        <v>244337</v>
      </c>
      <c r="B125" t="s">
        <v>184</v>
      </c>
      <c r="C125" t="s">
        <v>19</v>
      </c>
      <c r="D125" t="s">
        <v>183</v>
      </c>
      <c r="E125" t="s">
        <v>407</v>
      </c>
      <c r="G125" s="2">
        <v>469900</v>
      </c>
      <c r="H125" s="2">
        <v>-14960824.73</v>
      </c>
      <c r="I125" s="2">
        <f t="shared" si="1"/>
        <v>-469900</v>
      </c>
    </row>
    <row r="126" spans="1:9" x14ac:dyDescent="0.2">
      <c r="A126" s="1">
        <v>244337</v>
      </c>
      <c r="B126" t="s">
        <v>184</v>
      </c>
      <c r="C126" t="s">
        <v>19</v>
      </c>
      <c r="D126" t="s">
        <v>183</v>
      </c>
      <c r="E126" t="s">
        <v>407</v>
      </c>
      <c r="G126" s="2">
        <v>9199.66</v>
      </c>
      <c r="H126" s="2">
        <v>-14970024.390000001</v>
      </c>
      <c r="I126" s="2">
        <f t="shared" si="1"/>
        <v>-9199.66</v>
      </c>
    </row>
    <row r="127" spans="1:9" x14ac:dyDescent="0.2">
      <c r="A127" s="1">
        <v>244338</v>
      </c>
      <c r="B127" t="s">
        <v>186</v>
      </c>
      <c r="C127" t="s">
        <v>19</v>
      </c>
      <c r="D127" t="s">
        <v>185</v>
      </c>
      <c r="E127" t="s">
        <v>408</v>
      </c>
      <c r="G127" s="2">
        <v>599900</v>
      </c>
      <c r="H127" s="2">
        <v>-15569924.390000001</v>
      </c>
      <c r="I127" s="2">
        <f t="shared" si="1"/>
        <v>-599900</v>
      </c>
    </row>
    <row r="128" spans="1:9" x14ac:dyDescent="0.2">
      <c r="A128" s="1">
        <v>244340</v>
      </c>
      <c r="B128" t="s">
        <v>188</v>
      </c>
      <c r="C128" t="s">
        <v>19</v>
      </c>
      <c r="D128" t="s">
        <v>187</v>
      </c>
      <c r="E128" t="s">
        <v>409</v>
      </c>
      <c r="G128" s="2">
        <v>614900</v>
      </c>
      <c r="H128" s="2">
        <v>-16184824.390000001</v>
      </c>
      <c r="I128" s="2">
        <f t="shared" si="1"/>
        <v>-614900</v>
      </c>
    </row>
    <row r="129" spans="1:9" x14ac:dyDescent="0.2">
      <c r="A129" s="1">
        <v>244340</v>
      </c>
      <c r="B129" t="s">
        <v>190</v>
      </c>
      <c r="C129" t="s">
        <v>19</v>
      </c>
      <c r="D129" t="s">
        <v>189</v>
      </c>
      <c r="E129" t="s">
        <v>410</v>
      </c>
      <c r="G129" s="2">
        <v>599900</v>
      </c>
      <c r="H129" s="2">
        <v>-16784724.390000001</v>
      </c>
      <c r="I129" s="2">
        <f t="shared" si="1"/>
        <v>-599900</v>
      </c>
    </row>
    <row r="130" spans="1:9" x14ac:dyDescent="0.2">
      <c r="A130" s="1">
        <v>244340</v>
      </c>
      <c r="B130" t="s">
        <v>192</v>
      </c>
      <c r="C130" t="s">
        <v>19</v>
      </c>
      <c r="D130" t="s">
        <v>191</v>
      </c>
      <c r="E130" t="s">
        <v>481</v>
      </c>
      <c r="G130" s="2">
        <v>899900</v>
      </c>
      <c r="H130" s="2">
        <v>-17684624.390000001</v>
      </c>
      <c r="I130" s="2">
        <f t="shared" si="1"/>
        <v>-899900</v>
      </c>
    </row>
    <row r="131" spans="1:9" x14ac:dyDescent="0.2">
      <c r="A131" s="1">
        <v>244340</v>
      </c>
      <c r="B131" t="s">
        <v>192</v>
      </c>
      <c r="C131" t="s">
        <v>19</v>
      </c>
      <c r="D131" t="s">
        <v>191</v>
      </c>
      <c r="E131" t="s">
        <v>481</v>
      </c>
      <c r="G131" s="2">
        <v>2865.14</v>
      </c>
      <c r="H131" s="2">
        <v>-17687489.530000001</v>
      </c>
      <c r="I131" s="2">
        <f t="shared" ref="I131:I194" si="2">F131-G131</f>
        <v>-2865.14</v>
      </c>
    </row>
    <row r="132" spans="1:9" x14ac:dyDescent="0.2">
      <c r="A132" s="1">
        <v>244340</v>
      </c>
      <c r="B132" t="s">
        <v>194</v>
      </c>
      <c r="C132" t="s">
        <v>19</v>
      </c>
      <c r="D132" t="s">
        <v>193</v>
      </c>
      <c r="E132" t="s">
        <v>411</v>
      </c>
      <c r="G132" s="2">
        <v>769900</v>
      </c>
      <c r="H132" s="2">
        <v>-18457389.530000001</v>
      </c>
      <c r="I132" s="2">
        <f t="shared" si="2"/>
        <v>-769900</v>
      </c>
    </row>
    <row r="133" spans="1:9" x14ac:dyDescent="0.2">
      <c r="A133" s="1">
        <v>244340</v>
      </c>
      <c r="B133" t="s">
        <v>194</v>
      </c>
      <c r="C133" t="s">
        <v>19</v>
      </c>
      <c r="D133" t="s">
        <v>193</v>
      </c>
      <c r="E133" t="s">
        <v>411</v>
      </c>
      <c r="G133" s="2">
        <v>13785.88</v>
      </c>
      <c r="H133" s="2">
        <v>-18471175.41</v>
      </c>
      <c r="I133" s="2">
        <f t="shared" si="2"/>
        <v>-13785.88</v>
      </c>
    </row>
    <row r="134" spans="1:9" x14ac:dyDescent="0.2">
      <c r="A134" s="1">
        <v>244340</v>
      </c>
      <c r="B134" t="s">
        <v>196</v>
      </c>
      <c r="C134" t="s">
        <v>19</v>
      </c>
      <c r="D134" t="s">
        <v>195</v>
      </c>
      <c r="E134" t="s">
        <v>412</v>
      </c>
      <c r="G134" s="2">
        <v>899900</v>
      </c>
      <c r="H134" s="2">
        <v>-19371075.41</v>
      </c>
      <c r="I134" s="2">
        <f t="shared" si="2"/>
        <v>-899900</v>
      </c>
    </row>
    <row r="135" spans="1:9" x14ac:dyDescent="0.2">
      <c r="A135" s="1">
        <v>244340</v>
      </c>
      <c r="B135" t="s">
        <v>196</v>
      </c>
      <c r="C135" t="s">
        <v>19</v>
      </c>
      <c r="D135" t="s">
        <v>195</v>
      </c>
      <c r="E135" t="s">
        <v>412</v>
      </c>
      <c r="G135" s="2">
        <v>23105.58</v>
      </c>
      <c r="H135" s="2">
        <v>-19394180.989999998</v>
      </c>
      <c r="I135" s="2">
        <f t="shared" si="2"/>
        <v>-23105.58</v>
      </c>
    </row>
    <row r="136" spans="1:9" x14ac:dyDescent="0.2">
      <c r="A136" s="1">
        <v>244340</v>
      </c>
      <c r="B136" t="s">
        <v>198</v>
      </c>
      <c r="C136" t="s">
        <v>19</v>
      </c>
      <c r="D136" t="s">
        <v>197</v>
      </c>
      <c r="E136" t="s">
        <v>413</v>
      </c>
      <c r="G136" s="2">
        <v>469900</v>
      </c>
      <c r="H136" s="2">
        <v>-19864080.989999998</v>
      </c>
      <c r="I136" s="2">
        <f t="shared" si="2"/>
        <v>-469900</v>
      </c>
    </row>
    <row r="137" spans="1:9" x14ac:dyDescent="0.2">
      <c r="A137" s="1">
        <v>244340</v>
      </c>
      <c r="B137" t="s">
        <v>198</v>
      </c>
      <c r="C137" t="s">
        <v>19</v>
      </c>
      <c r="D137" t="s">
        <v>197</v>
      </c>
      <c r="E137" t="s">
        <v>413</v>
      </c>
      <c r="G137" s="2">
        <v>9557.24</v>
      </c>
      <c r="H137" s="2">
        <v>-19873638.23</v>
      </c>
      <c r="I137" s="2">
        <f t="shared" si="2"/>
        <v>-9557.24</v>
      </c>
    </row>
    <row r="138" spans="1:9" x14ac:dyDescent="0.2">
      <c r="A138" s="1">
        <v>244341</v>
      </c>
      <c r="B138" t="s">
        <v>200</v>
      </c>
      <c r="C138" t="s">
        <v>19</v>
      </c>
      <c r="D138" t="s">
        <v>199</v>
      </c>
      <c r="E138" t="s">
        <v>414</v>
      </c>
      <c r="G138" s="2">
        <v>674900</v>
      </c>
      <c r="H138" s="2">
        <v>-20548538.23</v>
      </c>
      <c r="I138" s="2">
        <f t="shared" si="2"/>
        <v>-674900</v>
      </c>
    </row>
    <row r="139" spans="1:9" x14ac:dyDescent="0.2">
      <c r="A139" s="1">
        <v>244341</v>
      </c>
      <c r="B139" t="s">
        <v>202</v>
      </c>
      <c r="C139" t="s">
        <v>19</v>
      </c>
      <c r="D139" t="s">
        <v>201</v>
      </c>
      <c r="E139" t="s">
        <v>415</v>
      </c>
      <c r="G139" s="2">
        <v>899900</v>
      </c>
      <c r="H139" s="2">
        <v>-21448438.23</v>
      </c>
      <c r="I139" s="2">
        <f t="shared" si="2"/>
        <v>-899900</v>
      </c>
    </row>
    <row r="140" spans="1:9" x14ac:dyDescent="0.2">
      <c r="A140" s="1">
        <v>244341</v>
      </c>
      <c r="B140" t="s">
        <v>202</v>
      </c>
      <c r="C140" t="s">
        <v>19</v>
      </c>
      <c r="D140" t="s">
        <v>201</v>
      </c>
      <c r="E140" t="s">
        <v>415</v>
      </c>
      <c r="G140" s="2">
        <v>11226.88</v>
      </c>
      <c r="H140" s="2">
        <v>-21459665.109999999</v>
      </c>
      <c r="I140" s="2">
        <f t="shared" si="2"/>
        <v>-11226.88</v>
      </c>
    </row>
    <row r="141" spans="1:9" x14ac:dyDescent="0.2">
      <c r="A141" s="1">
        <v>244341</v>
      </c>
      <c r="B141" t="s">
        <v>204</v>
      </c>
      <c r="C141" t="s">
        <v>19</v>
      </c>
      <c r="D141" t="s">
        <v>203</v>
      </c>
      <c r="E141" t="s">
        <v>416</v>
      </c>
      <c r="G141" s="2">
        <v>829900</v>
      </c>
      <c r="H141" s="2">
        <v>-22289565.109999999</v>
      </c>
      <c r="I141" s="2">
        <f t="shared" si="2"/>
        <v>-829900</v>
      </c>
    </row>
    <row r="142" spans="1:9" x14ac:dyDescent="0.2">
      <c r="A142" s="1">
        <v>244341</v>
      </c>
      <c r="B142" t="s">
        <v>204</v>
      </c>
      <c r="C142" t="s">
        <v>19</v>
      </c>
      <c r="D142" t="s">
        <v>203</v>
      </c>
      <c r="E142" t="s">
        <v>416</v>
      </c>
      <c r="G142" s="2">
        <v>14360.47</v>
      </c>
      <c r="H142" s="2">
        <v>-22303925.579999998</v>
      </c>
      <c r="I142" s="2">
        <f t="shared" si="2"/>
        <v>-14360.47</v>
      </c>
    </row>
    <row r="143" spans="1:9" x14ac:dyDescent="0.2">
      <c r="A143" s="1">
        <v>244342</v>
      </c>
      <c r="B143" t="s">
        <v>206</v>
      </c>
      <c r="C143" t="s">
        <v>19</v>
      </c>
      <c r="D143" t="s">
        <v>205</v>
      </c>
      <c r="E143" t="s">
        <v>417</v>
      </c>
      <c r="G143" s="2">
        <v>469900</v>
      </c>
      <c r="H143" s="2">
        <v>-22773825.579999998</v>
      </c>
      <c r="I143" s="2">
        <f t="shared" si="2"/>
        <v>-469900</v>
      </c>
    </row>
    <row r="144" spans="1:9" x14ac:dyDescent="0.2">
      <c r="A144" s="1">
        <v>244342</v>
      </c>
      <c r="B144" t="s">
        <v>206</v>
      </c>
      <c r="C144" t="s">
        <v>19</v>
      </c>
      <c r="D144" t="s">
        <v>205</v>
      </c>
      <c r="E144" t="s">
        <v>417</v>
      </c>
      <c r="G144" s="2">
        <v>7977.36</v>
      </c>
      <c r="H144" s="2">
        <v>-22781802.940000001</v>
      </c>
      <c r="I144" s="2">
        <f t="shared" si="2"/>
        <v>-7977.36</v>
      </c>
    </row>
    <row r="145" spans="1:9" x14ac:dyDescent="0.2">
      <c r="A145" s="1">
        <v>244342</v>
      </c>
      <c r="B145" t="s">
        <v>208</v>
      </c>
      <c r="C145" t="s">
        <v>19</v>
      </c>
      <c r="D145" t="s">
        <v>207</v>
      </c>
      <c r="E145" t="s">
        <v>418</v>
      </c>
      <c r="G145" s="2">
        <v>899900</v>
      </c>
      <c r="H145" s="2">
        <v>-23681702.940000001</v>
      </c>
      <c r="I145" s="2">
        <f t="shared" si="2"/>
        <v>-899900</v>
      </c>
    </row>
    <row r="146" spans="1:9" x14ac:dyDescent="0.2">
      <c r="A146" s="1">
        <v>244342</v>
      </c>
      <c r="B146" t="s">
        <v>208</v>
      </c>
      <c r="C146" t="s">
        <v>19</v>
      </c>
      <c r="D146" t="s">
        <v>207</v>
      </c>
      <c r="E146" t="s">
        <v>418</v>
      </c>
      <c r="G146" s="2">
        <v>12844.28</v>
      </c>
      <c r="H146" s="2">
        <v>-23694547.219999999</v>
      </c>
      <c r="I146" s="2">
        <f t="shared" si="2"/>
        <v>-12844.28</v>
      </c>
    </row>
    <row r="147" spans="1:9" x14ac:dyDescent="0.2">
      <c r="A147" s="1">
        <v>244342</v>
      </c>
      <c r="B147" t="s">
        <v>210</v>
      </c>
      <c r="C147" t="s">
        <v>19</v>
      </c>
      <c r="D147" t="s">
        <v>209</v>
      </c>
      <c r="E147" t="s">
        <v>419</v>
      </c>
      <c r="G147" s="2">
        <v>619900</v>
      </c>
      <c r="H147" s="2">
        <v>-24314447.219999999</v>
      </c>
      <c r="I147" s="2">
        <f t="shared" si="2"/>
        <v>-619900</v>
      </c>
    </row>
    <row r="148" spans="1:9" x14ac:dyDescent="0.2">
      <c r="A148" s="1">
        <v>244342</v>
      </c>
      <c r="B148" t="s">
        <v>210</v>
      </c>
      <c r="C148" t="s">
        <v>19</v>
      </c>
      <c r="D148" t="s">
        <v>209</v>
      </c>
      <c r="E148" t="s">
        <v>419</v>
      </c>
      <c r="G148" s="2">
        <v>10845.52</v>
      </c>
      <c r="H148" s="2">
        <v>-24325292.739999998</v>
      </c>
      <c r="I148" s="2">
        <f t="shared" si="2"/>
        <v>-10845.52</v>
      </c>
    </row>
    <row r="149" spans="1:9" x14ac:dyDescent="0.2">
      <c r="A149" s="1">
        <v>244344</v>
      </c>
      <c r="B149" t="s">
        <v>212</v>
      </c>
      <c r="C149" t="s">
        <v>19</v>
      </c>
      <c r="D149" t="s">
        <v>211</v>
      </c>
      <c r="E149" t="s">
        <v>420</v>
      </c>
      <c r="G149" s="2">
        <v>769900</v>
      </c>
      <c r="H149" s="2">
        <v>-25095192.739999998</v>
      </c>
      <c r="I149" s="2">
        <f t="shared" si="2"/>
        <v>-769900</v>
      </c>
    </row>
    <row r="150" spans="1:9" x14ac:dyDescent="0.2">
      <c r="A150" s="1">
        <v>244344</v>
      </c>
      <c r="B150" t="s">
        <v>212</v>
      </c>
      <c r="C150" t="s">
        <v>19</v>
      </c>
      <c r="D150" t="s">
        <v>211</v>
      </c>
      <c r="E150" t="s">
        <v>420</v>
      </c>
      <c r="G150" s="2">
        <v>3473.79</v>
      </c>
      <c r="H150" s="2">
        <v>-25098666.530000001</v>
      </c>
      <c r="I150" s="2">
        <f t="shared" si="2"/>
        <v>-3473.79</v>
      </c>
    </row>
    <row r="151" spans="1:9" x14ac:dyDescent="0.2">
      <c r="A151" s="1">
        <v>244344</v>
      </c>
      <c r="B151" t="s">
        <v>214</v>
      </c>
      <c r="C151" t="s">
        <v>19</v>
      </c>
      <c r="D151" t="s">
        <v>213</v>
      </c>
      <c r="E151" t="s">
        <v>421</v>
      </c>
      <c r="G151" s="2">
        <v>599900</v>
      </c>
      <c r="H151" s="2">
        <v>-25698566.530000001</v>
      </c>
      <c r="I151" s="2">
        <f t="shared" si="2"/>
        <v>-599900</v>
      </c>
    </row>
    <row r="152" spans="1:9" x14ac:dyDescent="0.2">
      <c r="A152" s="1">
        <v>244344</v>
      </c>
      <c r="B152" t="s">
        <v>214</v>
      </c>
      <c r="C152" t="s">
        <v>19</v>
      </c>
      <c r="D152" t="s">
        <v>213</v>
      </c>
      <c r="E152" t="s">
        <v>421</v>
      </c>
      <c r="G152" s="2">
        <v>8257.19</v>
      </c>
      <c r="H152" s="2">
        <v>-25706823.719999999</v>
      </c>
      <c r="I152" s="2">
        <f t="shared" si="2"/>
        <v>-8257.19</v>
      </c>
    </row>
    <row r="153" spans="1:9" x14ac:dyDescent="0.2">
      <c r="A153" s="1">
        <v>244345</v>
      </c>
      <c r="B153" t="s">
        <v>216</v>
      </c>
      <c r="C153" t="s">
        <v>19</v>
      </c>
      <c r="D153" t="s">
        <v>215</v>
      </c>
      <c r="E153" t="s">
        <v>422</v>
      </c>
      <c r="G153" s="2">
        <v>899900</v>
      </c>
      <c r="H153" s="2">
        <v>-26606723.719999999</v>
      </c>
      <c r="I153" s="2">
        <f t="shared" si="2"/>
        <v>-899900</v>
      </c>
    </row>
    <row r="154" spans="1:9" x14ac:dyDescent="0.2">
      <c r="A154" s="1">
        <v>244345</v>
      </c>
      <c r="B154" t="s">
        <v>218</v>
      </c>
      <c r="C154" t="s">
        <v>19</v>
      </c>
      <c r="D154" t="s">
        <v>217</v>
      </c>
      <c r="E154" t="s">
        <v>423</v>
      </c>
      <c r="G154" s="2">
        <v>1249000</v>
      </c>
      <c r="H154" s="2">
        <v>-27855723.719999999</v>
      </c>
      <c r="I154" s="2">
        <f t="shared" si="2"/>
        <v>-1249000</v>
      </c>
    </row>
    <row r="155" spans="1:9" x14ac:dyDescent="0.2">
      <c r="A155" s="1">
        <v>244347</v>
      </c>
      <c r="B155" t="s">
        <v>220</v>
      </c>
      <c r="C155" t="s">
        <v>19</v>
      </c>
      <c r="D155" t="s">
        <v>219</v>
      </c>
      <c r="E155" t="s">
        <v>424</v>
      </c>
      <c r="G155" s="2">
        <v>599900</v>
      </c>
      <c r="H155" s="2">
        <v>-28455623.719999999</v>
      </c>
      <c r="I155" s="2">
        <f t="shared" si="2"/>
        <v>-599900</v>
      </c>
    </row>
    <row r="156" spans="1:9" x14ac:dyDescent="0.2">
      <c r="A156" s="1">
        <v>244347</v>
      </c>
      <c r="B156" t="s">
        <v>220</v>
      </c>
      <c r="C156" t="s">
        <v>19</v>
      </c>
      <c r="D156" t="s">
        <v>219</v>
      </c>
      <c r="E156" t="s">
        <v>424</v>
      </c>
      <c r="G156" s="2">
        <v>2526.27</v>
      </c>
      <c r="H156" s="2">
        <v>-28458149.989999998</v>
      </c>
      <c r="I156" s="2">
        <f t="shared" si="2"/>
        <v>-2526.27</v>
      </c>
    </row>
    <row r="157" spans="1:9" x14ac:dyDescent="0.2">
      <c r="A157" s="1">
        <v>244347</v>
      </c>
      <c r="B157" t="s">
        <v>222</v>
      </c>
      <c r="C157" t="s">
        <v>19</v>
      </c>
      <c r="D157" t="s">
        <v>221</v>
      </c>
      <c r="E157" t="s">
        <v>425</v>
      </c>
      <c r="G157" s="2">
        <v>619900</v>
      </c>
      <c r="H157" s="2">
        <v>-29078049.989999998</v>
      </c>
      <c r="I157" s="2">
        <f t="shared" si="2"/>
        <v>-619900</v>
      </c>
    </row>
    <row r="158" spans="1:9" x14ac:dyDescent="0.2">
      <c r="A158" s="1">
        <v>244347</v>
      </c>
      <c r="B158" t="s">
        <v>222</v>
      </c>
      <c r="C158" t="s">
        <v>19</v>
      </c>
      <c r="D158" t="s">
        <v>221</v>
      </c>
      <c r="E158" t="s">
        <v>425</v>
      </c>
      <c r="G158" s="2">
        <v>2553.02</v>
      </c>
      <c r="H158" s="2">
        <v>-29080603.010000002</v>
      </c>
      <c r="I158" s="2">
        <f t="shared" si="2"/>
        <v>-2553.02</v>
      </c>
    </row>
    <row r="159" spans="1:9" x14ac:dyDescent="0.2">
      <c r="A159" s="1">
        <v>244347</v>
      </c>
      <c r="B159" t="s">
        <v>224</v>
      </c>
      <c r="C159" t="s">
        <v>19</v>
      </c>
      <c r="D159" t="s">
        <v>223</v>
      </c>
      <c r="E159" t="s">
        <v>426</v>
      </c>
      <c r="G159" s="2">
        <v>899900</v>
      </c>
      <c r="H159" s="2">
        <v>-29980503.010000002</v>
      </c>
      <c r="I159" s="2">
        <f t="shared" si="2"/>
        <v>-899900</v>
      </c>
    </row>
    <row r="160" spans="1:9" x14ac:dyDescent="0.2">
      <c r="A160" s="1">
        <v>244347</v>
      </c>
      <c r="B160" t="s">
        <v>224</v>
      </c>
      <c r="C160" t="s">
        <v>19</v>
      </c>
      <c r="D160" t="s">
        <v>223</v>
      </c>
      <c r="E160" t="s">
        <v>426</v>
      </c>
      <c r="G160" s="2">
        <v>21938.21</v>
      </c>
      <c r="H160" s="2">
        <v>-30002441.219999999</v>
      </c>
      <c r="I160" s="2">
        <f t="shared" si="2"/>
        <v>-21938.21</v>
      </c>
    </row>
    <row r="161" spans="1:9" x14ac:dyDescent="0.2">
      <c r="A161" s="1">
        <v>244347</v>
      </c>
      <c r="B161" t="s">
        <v>226</v>
      </c>
      <c r="C161" t="s">
        <v>19</v>
      </c>
      <c r="D161" t="s">
        <v>225</v>
      </c>
      <c r="E161" t="s">
        <v>427</v>
      </c>
      <c r="G161" s="2">
        <v>899900</v>
      </c>
      <c r="H161" s="2">
        <v>-30902341.219999999</v>
      </c>
      <c r="I161" s="2">
        <f t="shared" si="2"/>
        <v>-899900</v>
      </c>
    </row>
    <row r="162" spans="1:9" x14ac:dyDescent="0.2">
      <c r="A162" s="1">
        <v>244347</v>
      </c>
      <c r="B162" t="s">
        <v>226</v>
      </c>
      <c r="C162" t="s">
        <v>19</v>
      </c>
      <c r="D162" t="s">
        <v>225</v>
      </c>
      <c r="E162" t="s">
        <v>427</v>
      </c>
      <c r="G162" s="2">
        <v>14787.34</v>
      </c>
      <c r="H162" s="2">
        <v>-30917128.559999999</v>
      </c>
      <c r="I162" s="2">
        <f t="shared" si="2"/>
        <v>-14787.34</v>
      </c>
    </row>
    <row r="163" spans="1:9" x14ac:dyDescent="0.2">
      <c r="A163" s="1">
        <v>244347</v>
      </c>
      <c r="B163" t="s">
        <v>228</v>
      </c>
      <c r="C163" t="s">
        <v>19</v>
      </c>
      <c r="D163" t="s">
        <v>227</v>
      </c>
      <c r="E163" t="s">
        <v>428</v>
      </c>
      <c r="G163" s="2">
        <v>769900</v>
      </c>
      <c r="H163" s="2">
        <v>-31687028.559999999</v>
      </c>
      <c r="I163" s="2">
        <f t="shared" si="2"/>
        <v>-769900</v>
      </c>
    </row>
    <row r="164" spans="1:9" x14ac:dyDescent="0.2">
      <c r="A164" s="1">
        <v>244347</v>
      </c>
      <c r="B164" t="s">
        <v>228</v>
      </c>
      <c r="C164" t="s">
        <v>19</v>
      </c>
      <c r="D164" t="s">
        <v>227</v>
      </c>
      <c r="E164" t="s">
        <v>428</v>
      </c>
      <c r="G164" s="2">
        <v>12120.94</v>
      </c>
      <c r="H164" s="2">
        <v>-31699149.5</v>
      </c>
      <c r="I164" s="2">
        <f t="shared" si="2"/>
        <v>-12120.94</v>
      </c>
    </row>
    <row r="165" spans="1:9" x14ac:dyDescent="0.2">
      <c r="A165" s="1">
        <v>244348</v>
      </c>
      <c r="B165" t="s">
        <v>230</v>
      </c>
      <c r="C165" t="s">
        <v>19</v>
      </c>
      <c r="D165" t="s">
        <v>229</v>
      </c>
      <c r="E165" t="s">
        <v>429</v>
      </c>
      <c r="G165" s="2">
        <v>769900</v>
      </c>
      <c r="H165" s="2">
        <v>-32469049.5</v>
      </c>
      <c r="I165" s="2">
        <f t="shared" si="2"/>
        <v>-769900</v>
      </c>
    </row>
    <row r="166" spans="1:9" x14ac:dyDescent="0.2">
      <c r="A166" s="1">
        <v>244348</v>
      </c>
      <c r="B166" t="s">
        <v>230</v>
      </c>
      <c r="C166" t="s">
        <v>19</v>
      </c>
      <c r="D166" t="s">
        <v>229</v>
      </c>
      <c r="E166" t="s">
        <v>429</v>
      </c>
      <c r="G166" s="2">
        <v>2933.57</v>
      </c>
      <c r="H166" s="2">
        <v>-32471983.07</v>
      </c>
      <c r="I166" s="2">
        <f t="shared" si="2"/>
        <v>-2933.57</v>
      </c>
    </row>
    <row r="167" spans="1:9" x14ac:dyDescent="0.2">
      <c r="A167" s="1">
        <v>244348</v>
      </c>
      <c r="B167" t="s">
        <v>232</v>
      </c>
      <c r="C167" t="s">
        <v>19</v>
      </c>
      <c r="D167" t="s">
        <v>231</v>
      </c>
      <c r="E167" t="s">
        <v>430</v>
      </c>
      <c r="G167" s="2">
        <v>619900</v>
      </c>
      <c r="H167" s="2">
        <v>-33091883.07</v>
      </c>
      <c r="I167" s="2">
        <f t="shared" si="2"/>
        <v>-619900</v>
      </c>
    </row>
    <row r="168" spans="1:9" x14ac:dyDescent="0.2">
      <c r="A168" s="1">
        <v>244348</v>
      </c>
      <c r="B168" t="s">
        <v>232</v>
      </c>
      <c r="C168" t="s">
        <v>19</v>
      </c>
      <c r="D168" t="s">
        <v>231</v>
      </c>
      <c r="E168" t="s">
        <v>430</v>
      </c>
      <c r="G168" s="2">
        <v>9539.2000000000007</v>
      </c>
      <c r="H168" s="2">
        <v>-33101422.27</v>
      </c>
      <c r="I168" s="2">
        <f t="shared" si="2"/>
        <v>-9539.2000000000007</v>
      </c>
    </row>
    <row r="169" spans="1:9" x14ac:dyDescent="0.2">
      <c r="A169" s="1">
        <v>244348</v>
      </c>
      <c r="B169" t="s">
        <v>234</v>
      </c>
      <c r="C169" t="s">
        <v>19</v>
      </c>
      <c r="D169" t="s">
        <v>233</v>
      </c>
      <c r="E169" t="s">
        <v>431</v>
      </c>
      <c r="G169" s="2">
        <v>769900</v>
      </c>
      <c r="H169" s="2">
        <v>-33871322.270000003</v>
      </c>
      <c r="I169" s="2">
        <f t="shared" si="2"/>
        <v>-769900</v>
      </c>
    </row>
    <row r="170" spans="1:9" x14ac:dyDescent="0.2">
      <c r="A170" s="1">
        <v>244348</v>
      </c>
      <c r="B170" t="s">
        <v>234</v>
      </c>
      <c r="C170" t="s">
        <v>19</v>
      </c>
      <c r="D170" t="s">
        <v>233</v>
      </c>
      <c r="E170" t="s">
        <v>431</v>
      </c>
      <c r="G170" s="2">
        <v>13666.97</v>
      </c>
      <c r="H170" s="2">
        <v>-33884989.240000002</v>
      </c>
      <c r="I170" s="2">
        <f t="shared" si="2"/>
        <v>-13666.97</v>
      </c>
    </row>
    <row r="171" spans="1:9" x14ac:dyDescent="0.2">
      <c r="A171" s="1">
        <v>244348</v>
      </c>
      <c r="B171" t="s">
        <v>236</v>
      </c>
      <c r="C171" t="s">
        <v>19</v>
      </c>
      <c r="D171" t="s">
        <v>235</v>
      </c>
      <c r="E171" t="s">
        <v>432</v>
      </c>
      <c r="G171" s="2">
        <v>699900</v>
      </c>
      <c r="H171" s="2">
        <v>-34584889.240000002</v>
      </c>
      <c r="I171" s="2">
        <f t="shared" si="2"/>
        <v>-699900</v>
      </c>
    </row>
    <row r="172" spans="1:9" x14ac:dyDescent="0.2">
      <c r="A172" s="1">
        <v>244348</v>
      </c>
      <c r="B172" t="s">
        <v>236</v>
      </c>
      <c r="C172" t="s">
        <v>19</v>
      </c>
      <c r="D172" t="s">
        <v>235</v>
      </c>
      <c r="E172" t="s">
        <v>432</v>
      </c>
      <c r="G172" s="2">
        <v>13235.9</v>
      </c>
      <c r="H172" s="2">
        <v>-34598125.140000001</v>
      </c>
      <c r="I172" s="2">
        <f t="shared" si="2"/>
        <v>-13235.9</v>
      </c>
    </row>
    <row r="173" spans="1:9" x14ac:dyDescent="0.2">
      <c r="A173" s="1">
        <v>244348</v>
      </c>
      <c r="B173" t="s">
        <v>238</v>
      </c>
      <c r="C173" t="s">
        <v>19</v>
      </c>
      <c r="D173" t="s">
        <v>237</v>
      </c>
      <c r="E173" t="s">
        <v>433</v>
      </c>
      <c r="G173" s="2">
        <v>619900</v>
      </c>
      <c r="H173" s="2">
        <v>-35218025.140000001</v>
      </c>
      <c r="I173" s="2">
        <f t="shared" si="2"/>
        <v>-619900</v>
      </c>
    </row>
    <row r="174" spans="1:9" x14ac:dyDescent="0.2">
      <c r="A174" s="1">
        <v>244348</v>
      </c>
      <c r="B174" t="s">
        <v>238</v>
      </c>
      <c r="C174" t="s">
        <v>19</v>
      </c>
      <c r="D174" t="s">
        <v>237</v>
      </c>
      <c r="E174" t="s">
        <v>433</v>
      </c>
      <c r="G174" s="2">
        <v>2945.71</v>
      </c>
      <c r="H174" s="2">
        <v>-35220970.850000001</v>
      </c>
      <c r="I174" s="2">
        <f t="shared" si="2"/>
        <v>-2945.71</v>
      </c>
    </row>
    <row r="175" spans="1:9" x14ac:dyDescent="0.2">
      <c r="A175" s="1">
        <v>244348</v>
      </c>
      <c r="B175" t="s">
        <v>240</v>
      </c>
      <c r="C175" t="s">
        <v>19</v>
      </c>
      <c r="D175" t="s">
        <v>239</v>
      </c>
      <c r="E175" t="s">
        <v>434</v>
      </c>
      <c r="G175" s="2">
        <v>1249000</v>
      </c>
      <c r="H175" s="2">
        <v>-36469970.850000001</v>
      </c>
      <c r="I175" s="2">
        <f t="shared" si="2"/>
        <v>-1249000</v>
      </c>
    </row>
    <row r="176" spans="1:9" x14ac:dyDescent="0.2">
      <c r="A176" s="1">
        <v>244348</v>
      </c>
      <c r="B176" t="s">
        <v>240</v>
      </c>
      <c r="C176" t="s">
        <v>19</v>
      </c>
      <c r="D176" t="s">
        <v>239</v>
      </c>
      <c r="E176" t="s">
        <v>434</v>
      </c>
      <c r="G176" s="2">
        <v>18371.900000000001</v>
      </c>
      <c r="H176" s="2">
        <v>-36488342.75</v>
      </c>
      <c r="I176" s="2">
        <f t="shared" si="2"/>
        <v>-18371.900000000001</v>
      </c>
    </row>
    <row r="177" spans="1:9" x14ac:dyDescent="0.2">
      <c r="A177" s="1">
        <v>244348</v>
      </c>
      <c r="B177" t="s">
        <v>242</v>
      </c>
      <c r="C177" t="s">
        <v>19</v>
      </c>
      <c r="D177" t="s">
        <v>241</v>
      </c>
      <c r="E177" t="s">
        <v>435</v>
      </c>
      <c r="G177" s="2">
        <v>13000</v>
      </c>
      <c r="H177" s="2">
        <v>-36501342.75</v>
      </c>
      <c r="I177" s="2">
        <f t="shared" si="2"/>
        <v>-13000</v>
      </c>
    </row>
    <row r="178" spans="1:9" x14ac:dyDescent="0.2">
      <c r="A178" s="1">
        <v>244348</v>
      </c>
      <c r="B178" t="s">
        <v>243</v>
      </c>
      <c r="C178" t="s">
        <v>19</v>
      </c>
      <c r="D178" t="s">
        <v>241</v>
      </c>
      <c r="E178" t="s">
        <v>435</v>
      </c>
      <c r="G178" s="2">
        <v>121985</v>
      </c>
      <c r="H178" s="2">
        <v>-36623327.75</v>
      </c>
      <c r="I178" s="2">
        <f t="shared" si="2"/>
        <v>-121985</v>
      </c>
    </row>
    <row r="179" spans="1:9" x14ac:dyDescent="0.2">
      <c r="A179" s="1">
        <v>244348</v>
      </c>
      <c r="B179" t="s">
        <v>245</v>
      </c>
      <c r="C179" t="s">
        <v>19</v>
      </c>
      <c r="D179" t="s">
        <v>244</v>
      </c>
      <c r="E179" t="s">
        <v>436</v>
      </c>
      <c r="G179" s="2">
        <v>83340</v>
      </c>
      <c r="H179" s="2">
        <v>-36706667.75</v>
      </c>
      <c r="I179" s="2">
        <f t="shared" si="2"/>
        <v>-83340</v>
      </c>
    </row>
    <row r="180" spans="1:9" x14ac:dyDescent="0.2">
      <c r="A180" s="1">
        <v>244348</v>
      </c>
      <c r="B180" t="s">
        <v>246</v>
      </c>
      <c r="C180" t="s">
        <v>19</v>
      </c>
      <c r="D180" t="s">
        <v>244</v>
      </c>
      <c r="E180" t="s">
        <v>437</v>
      </c>
      <c r="G180" s="2">
        <v>187861</v>
      </c>
      <c r="H180" s="2">
        <v>-36894528.75</v>
      </c>
      <c r="I180" s="2">
        <f t="shared" si="2"/>
        <v>-187861</v>
      </c>
    </row>
    <row r="181" spans="1:9" x14ac:dyDescent="0.2">
      <c r="A181" s="1">
        <v>244348</v>
      </c>
      <c r="B181" t="s">
        <v>247</v>
      </c>
      <c r="C181" t="s">
        <v>19</v>
      </c>
      <c r="D181" t="s">
        <v>244</v>
      </c>
      <c r="E181" t="s">
        <v>438</v>
      </c>
      <c r="G181" s="2">
        <v>3980</v>
      </c>
      <c r="H181" s="2">
        <v>-36898508.75</v>
      </c>
      <c r="I181" s="2">
        <f t="shared" si="2"/>
        <v>-3980</v>
      </c>
    </row>
    <row r="182" spans="1:9" x14ac:dyDescent="0.2">
      <c r="A182" s="1">
        <v>244348</v>
      </c>
      <c r="B182" t="s">
        <v>248</v>
      </c>
      <c r="C182" t="s">
        <v>19</v>
      </c>
      <c r="D182" t="s">
        <v>244</v>
      </c>
      <c r="E182" t="s">
        <v>439</v>
      </c>
      <c r="G182" s="2">
        <v>185970</v>
      </c>
      <c r="H182" s="2">
        <v>-37084478.75</v>
      </c>
      <c r="I182" s="2">
        <f t="shared" si="2"/>
        <v>-185970</v>
      </c>
    </row>
    <row r="183" spans="1:9" x14ac:dyDescent="0.2">
      <c r="A183" s="1">
        <v>244348</v>
      </c>
      <c r="B183" t="s">
        <v>249</v>
      </c>
      <c r="C183" t="s">
        <v>19</v>
      </c>
      <c r="D183" t="s">
        <v>244</v>
      </c>
      <c r="E183" t="s">
        <v>440</v>
      </c>
      <c r="G183" s="2">
        <v>449950</v>
      </c>
      <c r="H183" s="2">
        <v>-37534428.75</v>
      </c>
      <c r="I183" s="2">
        <f t="shared" si="2"/>
        <v>-449950</v>
      </c>
    </row>
    <row r="184" spans="1:9" x14ac:dyDescent="0.2">
      <c r="A184" s="1">
        <v>244348</v>
      </c>
      <c r="B184" t="s">
        <v>251</v>
      </c>
      <c r="C184" t="s">
        <v>22</v>
      </c>
      <c r="D184" t="s">
        <v>250</v>
      </c>
      <c r="E184" t="s">
        <v>441</v>
      </c>
      <c r="F184" s="2">
        <v>469900</v>
      </c>
      <c r="H184" s="2">
        <v>-37064528.75</v>
      </c>
      <c r="I184" s="2">
        <f t="shared" si="2"/>
        <v>469900</v>
      </c>
    </row>
    <row r="185" spans="1:9" x14ac:dyDescent="0.2">
      <c r="A185" s="1">
        <v>244348</v>
      </c>
      <c r="B185" t="s">
        <v>252</v>
      </c>
      <c r="C185" t="s">
        <v>22</v>
      </c>
      <c r="D185" t="s">
        <v>250</v>
      </c>
      <c r="E185" t="s">
        <v>442</v>
      </c>
      <c r="F185" s="2">
        <v>469900</v>
      </c>
      <c r="H185" s="2">
        <v>-36594628.75</v>
      </c>
      <c r="I185" s="2">
        <f t="shared" si="2"/>
        <v>469900</v>
      </c>
    </row>
    <row r="186" spans="1:9" x14ac:dyDescent="0.2">
      <c r="A186" s="1">
        <v>244348</v>
      </c>
      <c r="B186" t="s">
        <v>253</v>
      </c>
      <c r="C186" t="s">
        <v>22</v>
      </c>
      <c r="D186" t="s">
        <v>250</v>
      </c>
      <c r="E186" t="s">
        <v>359</v>
      </c>
      <c r="F186" s="2">
        <v>469900</v>
      </c>
      <c r="H186" s="2">
        <v>-36124728.75</v>
      </c>
      <c r="I186" s="2">
        <f t="shared" si="2"/>
        <v>469900</v>
      </c>
    </row>
    <row r="187" spans="1:9" x14ac:dyDescent="0.2">
      <c r="A187" s="1">
        <v>244348</v>
      </c>
      <c r="B187" t="s">
        <v>254</v>
      </c>
      <c r="C187" t="s">
        <v>22</v>
      </c>
      <c r="D187" t="s">
        <v>250</v>
      </c>
      <c r="E187" t="s">
        <v>382</v>
      </c>
      <c r="F187" s="2">
        <v>469900</v>
      </c>
      <c r="H187" s="2">
        <v>-35654828.75</v>
      </c>
      <c r="I187" s="2">
        <f t="shared" si="2"/>
        <v>469900</v>
      </c>
    </row>
    <row r="188" spans="1:9" x14ac:dyDescent="0.2">
      <c r="A188" s="1">
        <v>244348</v>
      </c>
      <c r="B188" t="s">
        <v>255</v>
      </c>
      <c r="C188" t="s">
        <v>22</v>
      </c>
      <c r="D188" t="s">
        <v>250</v>
      </c>
      <c r="E188" t="s">
        <v>443</v>
      </c>
      <c r="F188" s="2">
        <v>469900</v>
      </c>
      <c r="H188" s="2">
        <v>-35184928.75</v>
      </c>
      <c r="I188" s="2">
        <f t="shared" si="2"/>
        <v>469900</v>
      </c>
    </row>
    <row r="189" spans="1:9" x14ac:dyDescent="0.2">
      <c r="A189" s="1">
        <v>244348</v>
      </c>
      <c r="B189" t="s">
        <v>256</v>
      </c>
      <c r="C189" t="s">
        <v>22</v>
      </c>
      <c r="D189" t="s">
        <v>250</v>
      </c>
      <c r="E189" t="s">
        <v>444</v>
      </c>
      <c r="F189" s="2">
        <v>469900</v>
      </c>
      <c r="H189" s="2">
        <v>-34715028.75</v>
      </c>
      <c r="I189" s="2">
        <f t="shared" si="2"/>
        <v>469900</v>
      </c>
    </row>
    <row r="190" spans="1:9" x14ac:dyDescent="0.2">
      <c r="A190" s="1">
        <v>244348</v>
      </c>
      <c r="B190" t="s">
        <v>257</v>
      </c>
      <c r="C190" t="s">
        <v>22</v>
      </c>
      <c r="D190" t="s">
        <v>250</v>
      </c>
      <c r="E190" t="s">
        <v>445</v>
      </c>
      <c r="F190" s="2">
        <v>599900</v>
      </c>
      <c r="H190" s="2">
        <v>-34115128.75</v>
      </c>
      <c r="I190" s="2">
        <f t="shared" si="2"/>
        <v>599900</v>
      </c>
    </row>
    <row r="191" spans="1:9" x14ac:dyDescent="0.2">
      <c r="A191" s="1">
        <v>244348</v>
      </c>
      <c r="B191" t="s">
        <v>258</v>
      </c>
      <c r="C191" t="s">
        <v>22</v>
      </c>
      <c r="D191" t="s">
        <v>250</v>
      </c>
      <c r="E191" t="s">
        <v>446</v>
      </c>
      <c r="F191" s="2">
        <v>599900</v>
      </c>
      <c r="H191" s="2">
        <v>-33515228.75</v>
      </c>
      <c r="I191" s="2">
        <f t="shared" si="2"/>
        <v>599900</v>
      </c>
    </row>
    <row r="192" spans="1:9" x14ac:dyDescent="0.2">
      <c r="A192" s="1">
        <v>244348</v>
      </c>
      <c r="B192" t="s">
        <v>259</v>
      </c>
      <c r="C192" t="s">
        <v>22</v>
      </c>
      <c r="D192" t="s">
        <v>250</v>
      </c>
      <c r="E192" t="s">
        <v>447</v>
      </c>
      <c r="F192" s="2">
        <v>599900</v>
      </c>
      <c r="H192" s="2">
        <v>-32915328.75</v>
      </c>
      <c r="I192" s="2">
        <f t="shared" si="2"/>
        <v>599900</v>
      </c>
    </row>
    <row r="193" spans="1:9" x14ac:dyDescent="0.2">
      <c r="A193" s="1">
        <v>244348</v>
      </c>
      <c r="B193" t="s">
        <v>260</v>
      </c>
      <c r="C193" t="s">
        <v>22</v>
      </c>
      <c r="D193" t="s">
        <v>250</v>
      </c>
      <c r="E193" t="s">
        <v>357</v>
      </c>
      <c r="F193" s="2">
        <v>599900</v>
      </c>
      <c r="H193" s="2">
        <v>-32315428.75</v>
      </c>
      <c r="I193" s="2">
        <f t="shared" si="2"/>
        <v>599900</v>
      </c>
    </row>
    <row r="194" spans="1:9" x14ac:dyDescent="0.2">
      <c r="A194" s="1">
        <v>244348</v>
      </c>
      <c r="B194" t="s">
        <v>261</v>
      </c>
      <c r="C194" t="s">
        <v>22</v>
      </c>
      <c r="D194" t="s">
        <v>250</v>
      </c>
      <c r="E194" t="s">
        <v>356</v>
      </c>
      <c r="F194" s="2">
        <v>599900</v>
      </c>
      <c r="H194" s="2">
        <v>-31715528.75</v>
      </c>
      <c r="I194" s="2">
        <f t="shared" si="2"/>
        <v>599900</v>
      </c>
    </row>
    <row r="195" spans="1:9" x14ac:dyDescent="0.2">
      <c r="A195" s="1">
        <v>244348</v>
      </c>
      <c r="B195" t="s">
        <v>262</v>
      </c>
      <c r="C195" t="s">
        <v>22</v>
      </c>
      <c r="D195" t="s">
        <v>250</v>
      </c>
      <c r="E195" t="s">
        <v>448</v>
      </c>
      <c r="F195" s="2">
        <v>599900</v>
      </c>
      <c r="H195" s="2">
        <v>-31115628.75</v>
      </c>
      <c r="I195" s="2">
        <f t="shared" ref="I195:I258" si="3">F195-G195</f>
        <v>599900</v>
      </c>
    </row>
    <row r="196" spans="1:9" x14ac:dyDescent="0.2">
      <c r="A196" s="1">
        <v>244348</v>
      </c>
      <c r="B196" t="s">
        <v>263</v>
      </c>
      <c r="C196" t="s">
        <v>22</v>
      </c>
      <c r="D196" t="s">
        <v>250</v>
      </c>
      <c r="E196" t="s">
        <v>449</v>
      </c>
      <c r="F196" s="2">
        <v>599900</v>
      </c>
      <c r="H196" s="2">
        <v>-30515728.75</v>
      </c>
      <c r="I196" s="2">
        <f t="shared" si="3"/>
        <v>599900</v>
      </c>
    </row>
    <row r="197" spans="1:9" x14ac:dyDescent="0.2">
      <c r="A197" s="1">
        <v>244348</v>
      </c>
      <c r="B197" t="s">
        <v>264</v>
      </c>
      <c r="C197" t="s">
        <v>22</v>
      </c>
      <c r="D197" t="s">
        <v>250</v>
      </c>
      <c r="E197" t="s">
        <v>450</v>
      </c>
      <c r="F197" s="2">
        <v>599900</v>
      </c>
      <c r="H197" s="2">
        <v>-29915828.75</v>
      </c>
      <c r="I197" s="2">
        <f t="shared" si="3"/>
        <v>599900</v>
      </c>
    </row>
    <row r="198" spans="1:9" x14ac:dyDescent="0.2">
      <c r="A198" s="1">
        <v>244348</v>
      </c>
      <c r="B198" t="s">
        <v>265</v>
      </c>
      <c r="C198" t="s">
        <v>22</v>
      </c>
      <c r="D198" t="s">
        <v>250</v>
      </c>
      <c r="E198" t="s">
        <v>451</v>
      </c>
      <c r="F198" s="2">
        <v>599900</v>
      </c>
      <c r="H198" s="2">
        <v>-29315928.75</v>
      </c>
      <c r="I198" s="2">
        <f t="shared" si="3"/>
        <v>599900</v>
      </c>
    </row>
    <row r="199" spans="1:9" x14ac:dyDescent="0.2">
      <c r="A199" s="1">
        <v>244348</v>
      </c>
      <c r="B199" t="s">
        <v>267</v>
      </c>
      <c r="C199" t="s">
        <v>22</v>
      </c>
      <c r="D199" t="s">
        <v>266</v>
      </c>
      <c r="E199" t="s">
        <v>452</v>
      </c>
      <c r="F199" s="2">
        <v>899900</v>
      </c>
      <c r="H199" s="2">
        <v>-28416028.75</v>
      </c>
      <c r="I199" s="2">
        <f t="shared" si="3"/>
        <v>899900</v>
      </c>
    </row>
    <row r="200" spans="1:9" x14ac:dyDescent="0.2">
      <c r="A200" s="1">
        <v>244348</v>
      </c>
      <c r="B200" t="s">
        <v>268</v>
      </c>
      <c r="C200" t="s">
        <v>22</v>
      </c>
      <c r="D200" t="s">
        <v>266</v>
      </c>
      <c r="E200" t="s">
        <v>453</v>
      </c>
      <c r="F200" s="2">
        <v>899900</v>
      </c>
      <c r="H200" s="2">
        <v>-27516128.75</v>
      </c>
      <c r="I200" s="2">
        <f t="shared" si="3"/>
        <v>899900</v>
      </c>
    </row>
    <row r="201" spans="1:9" x14ac:dyDescent="0.2">
      <c r="A201" s="1">
        <v>244348</v>
      </c>
      <c r="B201" t="s">
        <v>269</v>
      </c>
      <c r="C201" t="s">
        <v>22</v>
      </c>
      <c r="D201" t="s">
        <v>266</v>
      </c>
      <c r="E201" t="s">
        <v>454</v>
      </c>
      <c r="F201" s="2">
        <v>899900</v>
      </c>
      <c r="H201" s="2">
        <v>-26616228.75</v>
      </c>
      <c r="I201" s="2">
        <f t="shared" si="3"/>
        <v>899900</v>
      </c>
    </row>
    <row r="202" spans="1:9" x14ac:dyDescent="0.2">
      <c r="A202" s="1">
        <v>244348</v>
      </c>
      <c r="B202" t="s">
        <v>270</v>
      </c>
      <c r="C202" t="s">
        <v>22</v>
      </c>
      <c r="D202" t="s">
        <v>266</v>
      </c>
      <c r="E202" t="s">
        <v>362</v>
      </c>
      <c r="F202" s="2">
        <v>899900</v>
      </c>
      <c r="H202" s="2">
        <v>-25716328.75</v>
      </c>
      <c r="I202" s="2">
        <f t="shared" si="3"/>
        <v>899900</v>
      </c>
    </row>
    <row r="203" spans="1:9" x14ac:dyDescent="0.2">
      <c r="A203" s="1">
        <v>244348</v>
      </c>
      <c r="B203" t="s">
        <v>271</v>
      </c>
      <c r="C203" t="s">
        <v>22</v>
      </c>
      <c r="D203" t="s">
        <v>266</v>
      </c>
      <c r="E203" t="s">
        <v>363</v>
      </c>
      <c r="F203" s="2">
        <v>899900</v>
      </c>
      <c r="H203" s="2">
        <v>-24816428.75</v>
      </c>
      <c r="I203" s="2">
        <f t="shared" si="3"/>
        <v>899900</v>
      </c>
    </row>
    <row r="204" spans="1:9" x14ac:dyDescent="0.2">
      <c r="A204" s="1">
        <v>244348</v>
      </c>
      <c r="B204" t="s">
        <v>272</v>
      </c>
      <c r="C204" t="s">
        <v>22</v>
      </c>
      <c r="D204" t="s">
        <v>266</v>
      </c>
      <c r="E204" t="s">
        <v>455</v>
      </c>
      <c r="F204" s="2">
        <v>899900</v>
      </c>
      <c r="H204" s="2">
        <v>-23916528.75</v>
      </c>
      <c r="I204" s="2">
        <f t="shared" si="3"/>
        <v>899900</v>
      </c>
    </row>
    <row r="205" spans="1:9" x14ac:dyDescent="0.2">
      <c r="A205" s="1">
        <v>244348</v>
      </c>
      <c r="B205" t="s">
        <v>273</v>
      </c>
      <c r="C205" t="s">
        <v>22</v>
      </c>
      <c r="D205" t="s">
        <v>266</v>
      </c>
      <c r="E205" t="s">
        <v>365</v>
      </c>
      <c r="F205" s="2">
        <v>899900</v>
      </c>
      <c r="H205" s="2">
        <v>-23016628.75</v>
      </c>
      <c r="I205" s="2">
        <f t="shared" si="3"/>
        <v>899900</v>
      </c>
    </row>
    <row r="206" spans="1:9" x14ac:dyDescent="0.2">
      <c r="A206" s="1">
        <v>244348</v>
      </c>
      <c r="B206" t="s">
        <v>274</v>
      </c>
      <c r="C206" t="s">
        <v>22</v>
      </c>
      <c r="D206" t="s">
        <v>266</v>
      </c>
      <c r="E206" t="s">
        <v>364</v>
      </c>
      <c r="F206" s="2">
        <v>899900</v>
      </c>
      <c r="H206" s="2">
        <v>-22116728.75</v>
      </c>
      <c r="I206" s="2">
        <f t="shared" si="3"/>
        <v>899900</v>
      </c>
    </row>
    <row r="207" spans="1:9" x14ac:dyDescent="0.2">
      <c r="A207" s="1">
        <v>244348</v>
      </c>
      <c r="B207" t="s">
        <v>275</v>
      </c>
      <c r="C207" t="s">
        <v>22</v>
      </c>
      <c r="D207" t="s">
        <v>266</v>
      </c>
      <c r="E207" t="s">
        <v>358</v>
      </c>
      <c r="F207" s="2">
        <v>899900</v>
      </c>
      <c r="H207" s="2">
        <v>-21216828.75</v>
      </c>
      <c r="I207" s="2">
        <f t="shared" si="3"/>
        <v>899900</v>
      </c>
    </row>
    <row r="208" spans="1:9" x14ac:dyDescent="0.2">
      <c r="A208" s="1">
        <v>244348</v>
      </c>
      <c r="B208" t="s">
        <v>276</v>
      </c>
      <c r="C208" t="s">
        <v>22</v>
      </c>
      <c r="D208" t="s">
        <v>266</v>
      </c>
      <c r="E208" t="s">
        <v>351</v>
      </c>
      <c r="F208" s="2">
        <v>899900</v>
      </c>
      <c r="H208" s="2">
        <v>-20316928.75</v>
      </c>
      <c r="I208" s="2">
        <f t="shared" si="3"/>
        <v>899900</v>
      </c>
    </row>
    <row r="209" spans="1:9" x14ac:dyDescent="0.2">
      <c r="A209" s="1">
        <v>244348</v>
      </c>
      <c r="B209" t="s">
        <v>277</v>
      </c>
      <c r="C209" t="s">
        <v>22</v>
      </c>
      <c r="D209" t="s">
        <v>266</v>
      </c>
      <c r="E209" t="s">
        <v>345</v>
      </c>
      <c r="F209" s="2">
        <v>899900</v>
      </c>
      <c r="H209" s="2">
        <v>-19417028.75</v>
      </c>
      <c r="I209" s="2">
        <f t="shared" si="3"/>
        <v>899900</v>
      </c>
    </row>
    <row r="210" spans="1:9" x14ac:dyDescent="0.2">
      <c r="A210" s="1">
        <v>244348</v>
      </c>
      <c r="B210" t="s">
        <v>278</v>
      </c>
      <c r="C210" t="s">
        <v>22</v>
      </c>
      <c r="D210" t="s">
        <v>266</v>
      </c>
      <c r="E210" t="s">
        <v>344</v>
      </c>
      <c r="F210" s="2">
        <v>899900</v>
      </c>
      <c r="H210" s="2">
        <v>-18517128.75</v>
      </c>
      <c r="I210" s="2">
        <f t="shared" si="3"/>
        <v>899900</v>
      </c>
    </row>
    <row r="211" spans="1:9" x14ac:dyDescent="0.2">
      <c r="A211" s="1">
        <v>244348</v>
      </c>
      <c r="B211" t="s">
        <v>279</v>
      </c>
      <c r="C211" t="s">
        <v>22</v>
      </c>
      <c r="D211" t="s">
        <v>266</v>
      </c>
      <c r="E211" t="s">
        <v>456</v>
      </c>
      <c r="F211" s="2">
        <v>899900</v>
      </c>
      <c r="H211" s="2">
        <v>-17617228.75</v>
      </c>
      <c r="I211" s="2">
        <f t="shared" si="3"/>
        <v>899900</v>
      </c>
    </row>
    <row r="212" spans="1:9" x14ac:dyDescent="0.2">
      <c r="A212" s="1">
        <v>244348</v>
      </c>
      <c r="B212" t="s">
        <v>280</v>
      </c>
      <c r="C212" t="s">
        <v>22</v>
      </c>
      <c r="D212" t="s">
        <v>266</v>
      </c>
      <c r="E212" t="s">
        <v>457</v>
      </c>
      <c r="F212" s="2">
        <v>869900</v>
      </c>
      <c r="H212" s="2">
        <v>-16747328.75</v>
      </c>
      <c r="I212" s="2">
        <f t="shared" si="3"/>
        <v>869900</v>
      </c>
    </row>
    <row r="213" spans="1:9" x14ac:dyDescent="0.2">
      <c r="A213" s="1">
        <v>244348</v>
      </c>
      <c r="B213" t="s">
        <v>281</v>
      </c>
      <c r="C213" t="s">
        <v>22</v>
      </c>
      <c r="D213" t="s">
        <v>266</v>
      </c>
      <c r="E213" t="s">
        <v>399</v>
      </c>
      <c r="F213" s="2">
        <v>896900</v>
      </c>
      <c r="H213" s="2">
        <v>-15850428.75</v>
      </c>
      <c r="I213" s="2">
        <f t="shared" si="3"/>
        <v>896900</v>
      </c>
    </row>
    <row r="214" spans="1:9" x14ac:dyDescent="0.2">
      <c r="A214" s="1">
        <v>244348</v>
      </c>
      <c r="B214" t="s">
        <v>282</v>
      </c>
      <c r="C214" t="s">
        <v>22</v>
      </c>
      <c r="D214" t="s">
        <v>266</v>
      </c>
      <c r="E214" t="s">
        <v>458</v>
      </c>
      <c r="F214" s="2">
        <v>866900</v>
      </c>
      <c r="H214" s="2">
        <v>-14983528.75</v>
      </c>
      <c r="I214" s="2">
        <f t="shared" si="3"/>
        <v>866900</v>
      </c>
    </row>
    <row r="215" spans="1:9" x14ac:dyDescent="0.2">
      <c r="A215" s="1">
        <v>244348</v>
      </c>
      <c r="B215" t="s">
        <v>283</v>
      </c>
      <c r="C215" t="s">
        <v>22</v>
      </c>
      <c r="D215" t="s">
        <v>266</v>
      </c>
      <c r="E215" t="s">
        <v>459</v>
      </c>
      <c r="F215" s="2">
        <v>899900</v>
      </c>
      <c r="H215" s="2">
        <v>-14083628.75</v>
      </c>
      <c r="I215" s="2">
        <f t="shared" si="3"/>
        <v>899900</v>
      </c>
    </row>
    <row r="216" spans="1:9" x14ac:dyDescent="0.2">
      <c r="A216" s="1">
        <v>244348</v>
      </c>
      <c r="B216" t="s">
        <v>285</v>
      </c>
      <c r="C216" t="s">
        <v>22</v>
      </c>
      <c r="D216" t="s">
        <v>284</v>
      </c>
      <c r="E216" t="s">
        <v>460</v>
      </c>
      <c r="F216" s="2">
        <v>619900</v>
      </c>
      <c r="H216" s="2">
        <v>-13463728.75</v>
      </c>
      <c r="I216" s="2">
        <f t="shared" si="3"/>
        <v>619900</v>
      </c>
    </row>
    <row r="217" spans="1:9" x14ac:dyDescent="0.2">
      <c r="A217" s="1">
        <v>244348</v>
      </c>
      <c r="B217" t="s">
        <v>286</v>
      </c>
      <c r="C217" t="s">
        <v>22</v>
      </c>
      <c r="D217" t="s">
        <v>284</v>
      </c>
      <c r="E217" t="s">
        <v>354</v>
      </c>
      <c r="F217" s="2">
        <v>769900</v>
      </c>
      <c r="H217" s="2">
        <v>-12693828.75</v>
      </c>
      <c r="I217" s="2">
        <f t="shared" si="3"/>
        <v>769900</v>
      </c>
    </row>
    <row r="218" spans="1:9" x14ac:dyDescent="0.2">
      <c r="A218" s="1">
        <v>244348</v>
      </c>
      <c r="B218" t="s">
        <v>287</v>
      </c>
      <c r="C218" t="s">
        <v>22</v>
      </c>
      <c r="D218" t="s">
        <v>284</v>
      </c>
      <c r="E218" t="s">
        <v>461</v>
      </c>
      <c r="F218" s="2">
        <v>619900</v>
      </c>
      <c r="H218" s="2">
        <v>-12073928.75</v>
      </c>
      <c r="I218" s="2">
        <f t="shared" si="3"/>
        <v>619900</v>
      </c>
    </row>
    <row r="219" spans="1:9" x14ac:dyDescent="0.2">
      <c r="A219" s="1">
        <v>244348</v>
      </c>
      <c r="B219" t="s">
        <v>288</v>
      </c>
      <c r="C219" t="s">
        <v>22</v>
      </c>
      <c r="D219" t="s">
        <v>284</v>
      </c>
      <c r="E219" t="s">
        <v>462</v>
      </c>
      <c r="F219" s="2">
        <v>769900</v>
      </c>
      <c r="H219" s="2">
        <v>-11304028.75</v>
      </c>
      <c r="I219" s="2">
        <f t="shared" si="3"/>
        <v>769900</v>
      </c>
    </row>
    <row r="220" spans="1:9" x14ac:dyDescent="0.2">
      <c r="A220" s="1">
        <v>244348</v>
      </c>
      <c r="B220" t="s">
        <v>289</v>
      </c>
      <c r="C220" t="s">
        <v>22</v>
      </c>
      <c r="D220" t="s">
        <v>284</v>
      </c>
      <c r="E220" t="s">
        <v>463</v>
      </c>
      <c r="F220" s="2">
        <v>769900</v>
      </c>
      <c r="H220" s="2">
        <v>-10534128.75</v>
      </c>
      <c r="I220" s="2">
        <f t="shared" si="3"/>
        <v>769900</v>
      </c>
    </row>
    <row r="221" spans="1:9" x14ac:dyDescent="0.2">
      <c r="A221" s="1">
        <v>244348</v>
      </c>
      <c r="B221" t="s">
        <v>290</v>
      </c>
      <c r="C221" t="s">
        <v>22</v>
      </c>
      <c r="D221" t="s">
        <v>284</v>
      </c>
      <c r="E221" t="s">
        <v>464</v>
      </c>
      <c r="F221" s="2">
        <v>769900</v>
      </c>
      <c r="H221" s="2">
        <v>-9764228.75</v>
      </c>
      <c r="I221" s="2">
        <f t="shared" si="3"/>
        <v>769900</v>
      </c>
    </row>
    <row r="222" spans="1:9" x14ac:dyDescent="0.2">
      <c r="A222" s="1">
        <v>244348</v>
      </c>
      <c r="B222" t="s">
        <v>291</v>
      </c>
      <c r="C222" t="s">
        <v>22</v>
      </c>
      <c r="D222" t="s">
        <v>284</v>
      </c>
      <c r="E222" t="s">
        <v>465</v>
      </c>
      <c r="F222" s="2">
        <v>619900</v>
      </c>
      <c r="H222" s="2">
        <v>-9144328.75</v>
      </c>
      <c r="I222" s="2">
        <f t="shared" si="3"/>
        <v>619900</v>
      </c>
    </row>
    <row r="223" spans="1:9" x14ac:dyDescent="0.2">
      <c r="A223" s="1">
        <v>244348</v>
      </c>
      <c r="B223" t="s">
        <v>292</v>
      </c>
      <c r="C223" t="s">
        <v>22</v>
      </c>
      <c r="D223" t="s">
        <v>284</v>
      </c>
      <c r="E223" t="s">
        <v>360</v>
      </c>
      <c r="F223" s="2">
        <v>769900</v>
      </c>
      <c r="H223" s="2">
        <v>-8374428.75</v>
      </c>
      <c r="I223" s="2">
        <f t="shared" si="3"/>
        <v>769900</v>
      </c>
    </row>
    <row r="224" spans="1:9" x14ac:dyDescent="0.2">
      <c r="A224" s="1">
        <v>244348</v>
      </c>
      <c r="B224" t="s">
        <v>293</v>
      </c>
      <c r="C224" t="s">
        <v>22</v>
      </c>
      <c r="D224" t="s">
        <v>284</v>
      </c>
      <c r="E224" t="s">
        <v>361</v>
      </c>
      <c r="F224" s="2">
        <v>619900</v>
      </c>
      <c r="H224" s="2">
        <v>-7754528.75</v>
      </c>
      <c r="I224" s="2">
        <f t="shared" si="3"/>
        <v>619900</v>
      </c>
    </row>
    <row r="225" spans="1:9" x14ac:dyDescent="0.2">
      <c r="A225" s="1">
        <v>244348</v>
      </c>
      <c r="B225" t="s">
        <v>294</v>
      </c>
      <c r="C225" t="s">
        <v>22</v>
      </c>
      <c r="D225" t="s">
        <v>284</v>
      </c>
      <c r="E225" t="s">
        <v>355</v>
      </c>
      <c r="F225" s="2">
        <v>769900</v>
      </c>
      <c r="H225" s="2">
        <v>-6984628.75</v>
      </c>
      <c r="I225" s="2">
        <f t="shared" si="3"/>
        <v>769900</v>
      </c>
    </row>
    <row r="226" spans="1:9" x14ac:dyDescent="0.2">
      <c r="A226" s="1">
        <v>244348</v>
      </c>
      <c r="B226" t="s">
        <v>295</v>
      </c>
      <c r="C226" t="s">
        <v>22</v>
      </c>
      <c r="D226" t="s">
        <v>284</v>
      </c>
      <c r="E226" t="s">
        <v>352</v>
      </c>
      <c r="F226" s="2">
        <v>769900</v>
      </c>
      <c r="H226" s="2">
        <v>-6214728.75</v>
      </c>
      <c r="I226" s="2">
        <f t="shared" si="3"/>
        <v>769900</v>
      </c>
    </row>
    <row r="227" spans="1:9" x14ac:dyDescent="0.2">
      <c r="A227" s="1">
        <v>244348</v>
      </c>
      <c r="B227" t="s">
        <v>296</v>
      </c>
      <c r="C227" t="s">
        <v>22</v>
      </c>
      <c r="D227" t="s">
        <v>284</v>
      </c>
      <c r="E227" t="s">
        <v>350</v>
      </c>
      <c r="F227" s="2">
        <v>619900</v>
      </c>
      <c r="H227" s="2">
        <v>-5594828.75</v>
      </c>
      <c r="I227" s="2">
        <f t="shared" si="3"/>
        <v>619900</v>
      </c>
    </row>
    <row r="228" spans="1:9" x14ac:dyDescent="0.2">
      <c r="A228" s="1">
        <v>244348</v>
      </c>
      <c r="B228" t="s">
        <v>297</v>
      </c>
      <c r="C228" t="s">
        <v>22</v>
      </c>
      <c r="D228" t="s">
        <v>284</v>
      </c>
      <c r="E228" t="s">
        <v>349</v>
      </c>
      <c r="F228" s="2">
        <v>619900</v>
      </c>
      <c r="H228" s="2">
        <v>-4974928.75</v>
      </c>
      <c r="I228" s="2">
        <f t="shared" si="3"/>
        <v>619900</v>
      </c>
    </row>
    <row r="229" spans="1:9" x14ac:dyDescent="0.2">
      <c r="A229" s="1">
        <v>244348</v>
      </c>
      <c r="B229" t="s">
        <v>298</v>
      </c>
      <c r="C229" t="s">
        <v>22</v>
      </c>
      <c r="D229" t="s">
        <v>284</v>
      </c>
      <c r="E229" t="s">
        <v>348</v>
      </c>
      <c r="F229" s="2">
        <v>769900</v>
      </c>
      <c r="H229" s="2">
        <v>-4205028.75</v>
      </c>
      <c r="I229" s="2">
        <f t="shared" si="3"/>
        <v>769900</v>
      </c>
    </row>
    <row r="230" spans="1:9" x14ac:dyDescent="0.2">
      <c r="A230" s="1">
        <v>244348</v>
      </c>
      <c r="B230" t="s">
        <v>299</v>
      </c>
      <c r="C230" t="s">
        <v>22</v>
      </c>
      <c r="D230" t="s">
        <v>284</v>
      </c>
      <c r="E230" t="s">
        <v>347</v>
      </c>
      <c r="F230" s="2">
        <v>619900</v>
      </c>
      <c r="H230" s="2">
        <v>-3585128.75</v>
      </c>
      <c r="I230" s="2">
        <f t="shared" si="3"/>
        <v>619900</v>
      </c>
    </row>
    <row r="231" spans="1:9" x14ac:dyDescent="0.2">
      <c r="A231" s="1">
        <v>244348</v>
      </c>
      <c r="B231" t="s">
        <v>300</v>
      </c>
      <c r="C231" t="s">
        <v>22</v>
      </c>
      <c r="D231" t="s">
        <v>284</v>
      </c>
      <c r="E231" t="s">
        <v>466</v>
      </c>
      <c r="F231" s="2">
        <v>769900</v>
      </c>
      <c r="H231" s="2">
        <v>-2815228.75</v>
      </c>
      <c r="I231" s="2">
        <f t="shared" si="3"/>
        <v>769900</v>
      </c>
    </row>
    <row r="232" spans="1:9" x14ac:dyDescent="0.2">
      <c r="A232" s="1">
        <v>244348</v>
      </c>
      <c r="B232" t="s">
        <v>301</v>
      </c>
      <c r="C232" t="s">
        <v>22</v>
      </c>
      <c r="D232" t="s">
        <v>284</v>
      </c>
      <c r="E232" t="s">
        <v>467</v>
      </c>
      <c r="F232" s="2">
        <v>619900</v>
      </c>
      <c r="H232" s="2">
        <v>-2195328.75</v>
      </c>
      <c r="I232" s="2">
        <f t="shared" si="3"/>
        <v>619900</v>
      </c>
    </row>
    <row r="233" spans="1:9" x14ac:dyDescent="0.2">
      <c r="A233" s="1">
        <v>244348</v>
      </c>
      <c r="B233" t="s">
        <v>302</v>
      </c>
      <c r="C233" t="s">
        <v>22</v>
      </c>
      <c r="D233" t="s">
        <v>284</v>
      </c>
      <c r="E233" t="s">
        <v>468</v>
      </c>
      <c r="F233" s="2">
        <v>619900</v>
      </c>
      <c r="H233" s="2">
        <v>-1575428.75</v>
      </c>
      <c r="I233" s="2">
        <f t="shared" si="3"/>
        <v>619900</v>
      </c>
    </row>
    <row r="234" spans="1:9" x14ac:dyDescent="0.2">
      <c r="A234" s="1">
        <v>244348</v>
      </c>
      <c r="B234" t="s">
        <v>303</v>
      </c>
      <c r="C234" t="s">
        <v>22</v>
      </c>
      <c r="D234" t="s">
        <v>284</v>
      </c>
      <c r="E234" t="s">
        <v>469</v>
      </c>
      <c r="F234" s="2">
        <v>589900</v>
      </c>
      <c r="H234" s="2">
        <v>-985528.75</v>
      </c>
      <c r="I234" s="2">
        <f t="shared" si="3"/>
        <v>589900</v>
      </c>
    </row>
    <row r="235" spans="1:9" x14ac:dyDescent="0.2">
      <c r="A235" s="1">
        <v>244348</v>
      </c>
      <c r="B235" t="s">
        <v>304</v>
      </c>
      <c r="C235" t="s">
        <v>22</v>
      </c>
      <c r="D235" t="s">
        <v>284</v>
      </c>
      <c r="E235" t="s">
        <v>470</v>
      </c>
      <c r="F235" s="2">
        <v>616900</v>
      </c>
      <c r="H235" s="2">
        <v>-368628.75</v>
      </c>
      <c r="I235" s="2">
        <f t="shared" si="3"/>
        <v>616900</v>
      </c>
    </row>
    <row r="236" spans="1:9" x14ac:dyDescent="0.2">
      <c r="A236" s="1">
        <v>244348</v>
      </c>
      <c r="B236" t="s">
        <v>305</v>
      </c>
      <c r="C236" t="s">
        <v>22</v>
      </c>
      <c r="D236" t="s">
        <v>284</v>
      </c>
      <c r="E236" t="s">
        <v>471</v>
      </c>
      <c r="F236" s="2">
        <v>614900</v>
      </c>
      <c r="H236" s="2">
        <v>246271.25</v>
      </c>
      <c r="I236" s="2">
        <f t="shared" si="3"/>
        <v>614900</v>
      </c>
    </row>
    <row r="237" spans="1:9" x14ac:dyDescent="0.2">
      <c r="A237" s="1">
        <v>244348</v>
      </c>
      <c r="B237" t="s">
        <v>307</v>
      </c>
      <c r="C237" t="s">
        <v>22</v>
      </c>
      <c r="D237" t="s">
        <v>306</v>
      </c>
      <c r="E237" t="s">
        <v>472</v>
      </c>
      <c r="F237" s="2">
        <v>829900</v>
      </c>
      <c r="H237" s="2">
        <v>1076171.25</v>
      </c>
      <c r="I237" s="2">
        <f t="shared" si="3"/>
        <v>829900</v>
      </c>
    </row>
    <row r="238" spans="1:9" x14ac:dyDescent="0.2">
      <c r="A238" s="1">
        <v>244348</v>
      </c>
      <c r="B238" t="s">
        <v>308</v>
      </c>
      <c r="C238" t="s">
        <v>22</v>
      </c>
      <c r="D238" t="s">
        <v>306</v>
      </c>
      <c r="E238" t="s">
        <v>346</v>
      </c>
      <c r="F238" s="2">
        <v>699900</v>
      </c>
      <c r="H238" s="2">
        <v>1776071.25</v>
      </c>
      <c r="I238" s="2">
        <f t="shared" si="3"/>
        <v>699900</v>
      </c>
    </row>
    <row r="239" spans="1:9" x14ac:dyDescent="0.2">
      <c r="A239" s="1">
        <v>244348</v>
      </c>
      <c r="B239" t="s">
        <v>309</v>
      </c>
      <c r="C239" t="s">
        <v>22</v>
      </c>
      <c r="D239" t="s">
        <v>306</v>
      </c>
      <c r="E239" t="s">
        <v>473</v>
      </c>
      <c r="F239" s="2">
        <v>829900</v>
      </c>
      <c r="H239" s="2">
        <v>2605971.25</v>
      </c>
      <c r="I239" s="2">
        <f t="shared" si="3"/>
        <v>829900</v>
      </c>
    </row>
    <row r="240" spans="1:9" x14ac:dyDescent="0.2">
      <c r="A240" s="1">
        <v>244348</v>
      </c>
      <c r="B240" t="s">
        <v>310</v>
      </c>
      <c r="C240" t="s">
        <v>22</v>
      </c>
      <c r="D240" t="s">
        <v>306</v>
      </c>
      <c r="E240" t="s">
        <v>474</v>
      </c>
      <c r="F240" s="2">
        <v>829900</v>
      </c>
      <c r="H240" s="2">
        <v>3435871.25</v>
      </c>
      <c r="I240" s="2">
        <f t="shared" si="3"/>
        <v>829900</v>
      </c>
    </row>
    <row r="241" spans="1:9" x14ac:dyDescent="0.2">
      <c r="A241" s="1">
        <v>244348</v>
      </c>
      <c r="B241" t="s">
        <v>311</v>
      </c>
      <c r="C241" t="s">
        <v>22</v>
      </c>
      <c r="D241" t="s">
        <v>306</v>
      </c>
      <c r="E241" t="s">
        <v>475</v>
      </c>
      <c r="F241" s="2">
        <v>674900</v>
      </c>
      <c r="H241" s="2">
        <v>4110771.25</v>
      </c>
      <c r="I241" s="2">
        <f t="shared" si="3"/>
        <v>674900</v>
      </c>
    </row>
    <row r="242" spans="1:9" x14ac:dyDescent="0.2">
      <c r="A242" s="1">
        <v>244348</v>
      </c>
      <c r="B242" t="s">
        <v>313</v>
      </c>
      <c r="C242" t="s">
        <v>22</v>
      </c>
      <c r="D242" t="s">
        <v>312</v>
      </c>
      <c r="E242" t="s">
        <v>353</v>
      </c>
      <c r="F242" s="2">
        <v>1249000</v>
      </c>
      <c r="H242" s="2">
        <v>5359771.25</v>
      </c>
      <c r="I242" s="2">
        <f t="shared" si="3"/>
        <v>1249000</v>
      </c>
    </row>
    <row r="243" spans="1:9" x14ac:dyDescent="0.2">
      <c r="A243" s="1">
        <v>244348</v>
      </c>
      <c r="B243" t="s">
        <v>314</v>
      </c>
      <c r="C243" t="s">
        <v>22</v>
      </c>
      <c r="D243" t="s">
        <v>312</v>
      </c>
      <c r="E243" t="s">
        <v>476</v>
      </c>
      <c r="F243" s="2">
        <v>1249000</v>
      </c>
      <c r="H243" s="2">
        <v>6608771.25</v>
      </c>
      <c r="I243" s="2">
        <f t="shared" si="3"/>
        <v>1249000</v>
      </c>
    </row>
    <row r="244" spans="1:9" x14ac:dyDescent="0.2">
      <c r="A244" s="1">
        <v>244348</v>
      </c>
      <c r="B244" t="s">
        <v>254</v>
      </c>
      <c r="C244" t="s">
        <v>22</v>
      </c>
      <c r="D244" t="s">
        <v>315</v>
      </c>
      <c r="E244" t="s">
        <v>382</v>
      </c>
      <c r="F244" s="2">
        <v>7502.84</v>
      </c>
      <c r="H244" s="2">
        <v>6616274.0899999999</v>
      </c>
      <c r="I244" s="2">
        <f t="shared" si="3"/>
        <v>7502.84</v>
      </c>
    </row>
    <row r="245" spans="1:9" x14ac:dyDescent="0.2">
      <c r="A245" s="1">
        <v>244348</v>
      </c>
      <c r="B245" t="s">
        <v>316</v>
      </c>
      <c r="C245" t="s">
        <v>22</v>
      </c>
      <c r="D245" t="s">
        <v>315</v>
      </c>
      <c r="E245" t="s">
        <v>477</v>
      </c>
      <c r="F245" s="2">
        <v>2707.1</v>
      </c>
      <c r="H245" s="2">
        <v>6618981.1900000004</v>
      </c>
      <c r="I245" s="2">
        <f t="shared" si="3"/>
        <v>2707.1</v>
      </c>
    </row>
    <row r="246" spans="1:9" x14ac:dyDescent="0.2">
      <c r="A246" s="1">
        <v>244348</v>
      </c>
      <c r="B246" t="s">
        <v>255</v>
      </c>
      <c r="C246" t="s">
        <v>22</v>
      </c>
      <c r="D246" t="s">
        <v>315</v>
      </c>
      <c r="E246" t="s">
        <v>443</v>
      </c>
      <c r="F246" s="2">
        <v>9309</v>
      </c>
      <c r="H246" s="2">
        <v>6628290.1900000004</v>
      </c>
      <c r="I246" s="2">
        <f t="shared" si="3"/>
        <v>9309</v>
      </c>
    </row>
    <row r="247" spans="1:9" x14ac:dyDescent="0.2">
      <c r="A247" s="1">
        <v>244348</v>
      </c>
      <c r="B247" t="s">
        <v>288</v>
      </c>
      <c r="C247" t="s">
        <v>22</v>
      </c>
      <c r="D247" t="s">
        <v>315</v>
      </c>
      <c r="E247" t="s">
        <v>462</v>
      </c>
      <c r="F247" s="2">
        <v>3658.33</v>
      </c>
      <c r="H247" s="2">
        <v>6631948.5199999996</v>
      </c>
      <c r="I247" s="2">
        <f t="shared" si="3"/>
        <v>3658.33</v>
      </c>
    </row>
    <row r="248" spans="1:9" x14ac:dyDescent="0.2">
      <c r="A248" s="1">
        <v>244348</v>
      </c>
      <c r="B248" t="s">
        <v>257</v>
      </c>
      <c r="C248" t="s">
        <v>22</v>
      </c>
      <c r="D248" t="s">
        <v>315</v>
      </c>
      <c r="E248" t="s">
        <v>445</v>
      </c>
      <c r="F248" s="2">
        <v>13327.92</v>
      </c>
      <c r="H248" s="2">
        <v>6645276.4400000004</v>
      </c>
      <c r="I248" s="2">
        <f t="shared" si="3"/>
        <v>13327.92</v>
      </c>
    </row>
    <row r="249" spans="1:9" x14ac:dyDescent="0.2">
      <c r="A249" s="1">
        <v>244348</v>
      </c>
      <c r="B249" t="s">
        <v>317</v>
      </c>
      <c r="C249" t="s">
        <v>22</v>
      </c>
      <c r="D249" t="s">
        <v>315</v>
      </c>
      <c r="E249" t="s">
        <v>478</v>
      </c>
      <c r="F249" s="2">
        <v>10335.129999999999</v>
      </c>
      <c r="H249" s="2">
        <v>6655611.5700000003</v>
      </c>
      <c r="I249" s="2">
        <f t="shared" si="3"/>
        <v>10335.129999999999</v>
      </c>
    </row>
    <row r="250" spans="1:9" x14ac:dyDescent="0.2">
      <c r="A250" s="1">
        <v>244348</v>
      </c>
      <c r="B250" t="s">
        <v>258</v>
      </c>
      <c r="C250" t="s">
        <v>22</v>
      </c>
      <c r="D250" t="s">
        <v>315</v>
      </c>
      <c r="E250" t="s">
        <v>446</v>
      </c>
      <c r="F250" s="2">
        <v>2406.4299999999998</v>
      </c>
      <c r="H250" s="2">
        <v>6658018</v>
      </c>
      <c r="I250" s="2">
        <f t="shared" si="3"/>
        <v>2406.4299999999998</v>
      </c>
    </row>
    <row r="251" spans="1:9" x14ac:dyDescent="0.2">
      <c r="A251" s="1">
        <v>244348</v>
      </c>
      <c r="B251" t="s">
        <v>289</v>
      </c>
      <c r="C251" t="s">
        <v>22</v>
      </c>
      <c r="D251" t="s">
        <v>315</v>
      </c>
      <c r="E251" t="s">
        <v>463</v>
      </c>
      <c r="F251" s="2">
        <v>14272.52</v>
      </c>
      <c r="H251" s="2">
        <v>6672290.5199999996</v>
      </c>
      <c r="I251" s="2">
        <f t="shared" si="3"/>
        <v>14272.52</v>
      </c>
    </row>
    <row r="252" spans="1:9" x14ac:dyDescent="0.2">
      <c r="A252" s="1">
        <v>244348</v>
      </c>
      <c r="B252" t="s">
        <v>268</v>
      </c>
      <c r="C252" t="s">
        <v>22</v>
      </c>
      <c r="D252" t="s">
        <v>315</v>
      </c>
      <c r="E252" t="s">
        <v>453</v>
      </c>
      <c r="F252" s="2">
        <v>9478.06</v>
      </c>
      <c r="H252" s="2">
        <v>6681768.5800000001</v>
      </c>
      <c r="I252" s="2">
        <f t="shared" si="3"/>
        <v>9478.06</v>
      </c>
    </row>
    <row r="253" spans="1:9" x14ac:dyDescent="0.2">
      <c r="A253" s="1">
        <v>244348</v>
      </c>
      <c r="B253" t="s">
        <v>318</v>
      </c>
      <c r="C253" t="s">
        <v>22</v>
      </c>
      <c r="D253" t="s">
        <v>315</v>
      </c>
      <c r="E253" t="s">
        <v>479</v>
      </c>
      <c r="F253" s="2">
        <v>9470.57</v>
      </c>
      <c r="H253" s="2">
        <v>6691239.1500000004</v>
      </c>
      <c r="I253" s="2">
        <f t="shared" si="3"/>
        <v>9470.57</v>
      </c>
    </row>
    <row r="254" spans="1:9" x14ac:dyDescent="0.2">
      <c r="A254" s="1">
        <v>244348</v>
      </c>
      <c r="B254" t="s">
        <v>285</v>
      </c>
      <c r="C254" t="s">
        <v>22</v>
      </c>
      <c r="D254" t="s">
        <v>315</v>
      </c>
      <c r="E254" t="s">
        <v>460</v>
      </c>
      <c r="F254" s="2">
        <v>10845.52</v>
      </c>
      <c r="H254" s="2">
        <v>6702084.6699999999</v>
      </c>
      <c r="I254" s="2">
        <f t="shared" si="3"/>
        <v>10845.52</v>
      </c>
    </row>
    <row r="255" spans="1:9" x14ac:dyDescent="0.2">
      <c r="A255" s="1">
        <v>244348</v>
      </c>
      <c r="B255" t="s">
        <v>251</v>
      </c>
      <c r="C255" t="s">
        <v>22</v>
      </c>
      <c r="D255" t="s">
        <v>315</v>
      </c>
      <c r="E255" t="s">
        <v>441</v>
      </c>
      <c r="F255" s="2">
        <v>9557.24</v>
      </c>
      <c r="H255" s="2">
        <v>6711641.9100000001</v>
      </c>
      <c r="I255" s="2">
        <f t="shared" si="3"/>
        <v>9557.24</v>
      </c>
    </row>
    <row r="256" spans="1:9" x14ac:dyDescent="0.2">
      <c r="A256" s="1">
        <v>244348</v>
      </c>
      <c r="B256" t="s">
        <v>269</v>
      </c>
      <c r="C256" t="s">
        <v>22</v>
      </c>
      <c r="D256" t="s">
        <v>315</v>
      </c>
      <c r="E256" t="s">
        <v>454</v>
      </c>
      <c r="F256" s="2">
        <v>17909.66</v>
      </c>
      <c r="H256" s="2">
        <v>6729551.5700000003</v>
      </c>
      <c r="I256" s="2">
        <f t="shared" si="3"/>
        <v>17909.66</v>
      </c>
    </row>
    <row r="257" spans="1:9" x14ac:dyDescent="0.2">
      <c r="A257" s="1">
        <v>244348</v>
      </c>
      <c r="B257" t="s">
        <v>307</v>
      </c>
      <c r="C257" t="s">
        <v>22</v>
      </c>
      <c r="D257" t="s">
        <v>315</v>
      </c>
      <c r="E257" t="s">
        <v>472</v>
      </c>
      <c r="F257" s="2">
        <v>14360.47</v>
      </c>
      <c r="H257" s="2">
        <v>6743912.04</v>
      </c>
      <c r="I257" s="2">
        <f t="shared" si="3"/>
        <v>14360.47</v>
      </c>
    </row>
    <row r="258" spans="1:9" x14ac:dyDescent="0.2">
      <c r="A258" s="1">
        <v>244348</v>
      </c>
      <c r="B258" t="s">
        <v>252</v>
      </c>
      <c r="C258" t="s">
        <v>22</v>
      </c>
      <c r="D258" t="s">
        <v>315</v>
      </c>
      <c r="E258" t="s">
        <v>442</v>
      </c>
      <c r="F258" s="2">
        <v>9199.66</v>
      </c>
      <c r="H258" s="2">
        <v>6753111.7000000002</v>
      </c>
      <c r="I258" s="2">
        <f t="shared" si="3"/>
        <v>9199.66</v>
      </c>
    </row>
    <row r="259" spans="1:9" x14ac:dyDescent="0.2">
      <c r="A259" s="1">
        <v>244348</v>
      </c>
      <c r="B259" t="s">
        <v>290</v>
      </c>
      <c r="C259" t="s">
        <v>22</v>
      </c>
      <c r="D259" t="s">
        <v>315</v>
      </c>
      <c r="E259" t="s">
        <v>464</v>
      </c>
      <c r="F259" s="2">
        <v>12120.94</v>
      </c>
      <c r="H259" s="2">
        <v>6765232.6399999997</v>
      </c>
      <c r="I259" s="2">
        <f t="shared" ref="I259:I290" si="4">F259-G259</f>
        <v>12120.94</v>
      </c>
    </row>
    <row r="260" spans="1:9" x14ac:dyDescent="0.2">
      <c r="A260" s="1">
        <v>244348</v>
      </c>
      <c r="B260" t="s">
        <v>291</v>
      </c>
      <c r="C260" t="s">
        <v>22</v>
      </c>
      <c r="D260" t="s">
        <v>315</v>
      </c>
      <c r="E260" t="s">
        <v>465</v>
      </c>
      <c r="F260" s="2">
        <v>2406.4299999999998</v>
      </c>
      <c r="H260" s="2">
        <v>6767639.0700000003</v>
      </c>
      <c r="I260" s="2">
        <f t="shared" si="4"/>
        <v>2406.4299999999998</v>
      </c>
    </row>
    <row r="261" spans="1:9" x14ac:dyDescent="0.2">
      <c r="A261" s="1">
        <v>244348</v>
      </c>
      <c r="B261" t="s">
        <v>259</v>
      </c>
      <c r="C261" t="s">
        <v>22</v>
      </c>
      <c r="D261" t="s">
        <v>315</v>
      </c>
      <c r="E261" t="s">
        <v>447</v>
      </c>
      <c r="F261" s="2">
        <v>8395.2199999999993</v>
      </c>
      <c r="H261" s="2">
        <v>6776034.29</v>
      </c>
      <c r="I261" s="2">
        <f t="shared" si="4"/>
        <v>8395.2199999999993</v>
      </c>
    </row>
    <row r="262" spans="1:9" x14ac:dyDescent="0.2">
      <c r="A262" s="1">
        <v>244348</v>
      </c>
      <c r="B262" t="s">
        <v>272</v>
      </c>
      <c r="C262" t="s">
        <v>22</v>
      </c>
      <c r="D262" t="s">
        <v>315</v>
      </c>
      <c r="E262" t="s">
        <v>455</v>
      </c>
      <c r="F262" s="2">
        <v>2865.14</v>
      </c>
      <c r="H262" s="2">
        <v>6778899.4299999997</v>
      </c>
      <c r="I262" s="2">
        <f t="shared" si="4"/>
        <v>2865.14</v>
      </c>
    </row>
    <row r="263" spans="1:9" x14ac:dyDescent="0.2">
      <c r="A263" s="1">
        <v>244348</v>
      </c>
      <c r="B263" t="s">
        <v>273</v>
      </c>
      <c r="C263" t="s">
        <v>22</v>
      </c>
      <c r="D263" t="s">
        <v>315</v>
      </c>
      <c r="E263" t="s">
        <v>365</v>
      </c>
      <c r="F263" s="2">
        <v>14787.34</v>
      </c>
      <c r="H263" s="2">
        <v>6793686.7699999996</v>
      </c>
      <c r="I263" s="2">
        <f t="shared" si="4"/>
        <v>14787.34</v>
      </c>
    </row>
    <row r="264" spans="1:9" x14ac:dyDescent="0.2">
      <c r="A264" s="1">
        <v>244348</v>
      </c>
      <c r="B264" t="s">
        <v>274</v>
      </c>
      <c r="C264" t="s">
        <v>22</v>
      </c>
      <c r="D264" t="s">
        <v>315</v>
      </c>
      <c r="E264" t="s">
        <v>364</v>
      </c>
      <c r="F264" s="2">
        <v>11226.88</v>
      </c>
      <c r="H264" s="2">
        <v>6804913.6500000004</v>
      </c>
      <c r="I264" s="2">
        <f t="shared" si="4"/>
        <v>11226.88</v>
      </c>
    </row>
    <row r="265" spans="1:9" x14ac:dyDescent="0.2">
      <c r="A265" s="1">
        <v>244348</v>
      </c>
      <c r="B265" t="s">
        <v>271</v>
      </c>
      <c r="C265" t="s">
        <v>22</v>
      </c>
      <c r="D265" t="s">
        <v>315</v>
      </c>
      <c r="E265" t="s">
        <v>363</v>
      </c>
      <c r="F265" s="2">
        <v>12844.28</v>
      </c>
      <c r="H265" s="2">
        <v>6817757.9299999997</v>
      </c>
      <c r="I265" s="2">
        <f t="shared" si="4"/>
        <v>12844.28</v>
      </c>
    </row>
    <row r="266" spans="1:9" x14ac:dyDescent="0.2">
      <c r="A266" s="1">
        <v>244348</v>
      </c>
      <c r="B266" t="s">
        <v>270</v>
      </c>
      <c r="C266" t="s">
        <v>22</v>
      </c>
      <c r="D266" t="s">
        <v>315</v>
      </c>
      <c r="E266" t="s">
        <v>362</v>
      </c>
      <c r="F266" s="2">
        <v>23105.58</v>
      </c>
      <c r="H266" s="2">
        <v>6840863.5099999998</v>
      </c>
      <c r="I266" s="2">
        <f t="shared" si="4"/>
        <v>23105.58</v>
      </c>
    </row>
    <row r="267" spans="1:9" x14ac:dyDescent="0.2">
      <c r="A267" s="1">
        <v>244348</v>
      </c>
      <c r="B267" t="s">
        <v>293</v>
      </c>
      <c r="C267" t="s">
        <v>22</v>
      </c>
      <c r="D267" t="s">
        <v>315</v>
      </c>
      <c r="E267" t="s">
        <v>361</v>
      </c>
      <c r="F267" s="2">
        <v>10845.52</v>
      </c>
      <c r="H267" s="2">
        <v>6851709.0300000003</v>
      </c>
      <c r="I267" s="2">
        <f t="shared" si="4"/>
        <v>10845.52</v>
      </c>
    </row>
    <row r="268" spans="1:9" x14ac:dyDescent="0.2">
      <c r="A268" s="1">
        <v>244348</v>
      </c>
      <c r="B268" t="s">
        <v>292</v>
      </c>
      <c r="C268" t="s">
        <v>22</v>
      </c>
      <c r="D268" t="s">
        <v>315</v>
      </c>
      <c r="E268" t="s">
        <v>360</v>
      </c>
      <c r="F268" s="2">
        <v>13785.88</v>
      </c>
      <c r="H268" s="2">
        <v>6865494.9100000001</v>
      </c>
      <c r="I268" s="2">
        <f t="shared" si="4"/>
        <v>13785.88</v>
      </c>
    </row>
    <row r="269" spans="1:9" x14ac:dyDescent="0.2">
      <c r="A269" s="1">
        <v>244348</v>
      </c>
      <c r="B269" t="s">
        <v>253</v>
      </c>
      <c r="C269" t="s">
        <v>22</v>
      </c>
      <c r="D269" t="s">
        <v>315</v>
      </c>
      <c r="E269" t="s">
        <v>359</v>
      </c>
      <c r="F269" s="2">
        <v>7977.36</v>
      </c>
      <c r="H269" s="2">
        <v>6873472.2699999996</v>
      </c>
      <c r="I269" s="2">
        <f t="shared" si="4"/>
        <v>7977.36</v>
      </c>
    </row>
    <row r="270" spans="1:9" x14ac:dyDescent="0.2">
      <c r="A270" s="1">
        <v>244348</v>
      </c>
      <c r="B270" t="s">
        <v>275</v>
      </c>
      <c r="C270" t="s">
        <v>22</v>
      </c>
      <c r="D270" t="s">
        <v>315</v>
      </c>
      <c r="E270" t="s">
        <v>358</v>
      </c>
      <c r="F270" s="2">
        <v>16990.29</v>
      </c>
      <c r="H270" s="2">
        <v>6890462.5599999996</v>
      </c>
      <c r="I270" s="2">
        <f t="shared" si="4"/>
        <v>16990.29</v>
      </c>
    </row>
    <row r="271" spans="1:9" x14ac:dyDescent="0.2">
      <c r="A271" s="1">
        <v>244348</v>
      </c>
      <c r="B271" t="s">
        <v>260</v>
      </c>
      <c r="C271" t="s">
        <v>22</v>
      </c>
      <c r="D271" t="s">
        <v>315</v>
      </c>
      <c r="E271" t="s">
        <v>357</v>
      </c>
      <c r="F271" s="2">
        <v>2526.27</v>
      </c>
      <c r="H271" s="2">
        <v>6892988.8300000001</v>
      </c>
      <c r="I271" s="2">
        <f t="shared" si="4"/>
        <v>2526.27</v>
      </c>
    </row>
    <row r="272" spans="1:9" x14ac:dyDescent="0.2">
      <c r="A272" s="1">
        <v>244348</v>
      </c>
      <c r="B272" t="s">
        <v>261</v>
      </c>
      <c r="C272" t="s">
        <v>22</v>
      </c>
      <c r="D272" t="s">
        <v>315</v>
      </c>
      <c r="E272" t="s">
        <v>356</v>
      </c>
      <c r="F272" s="2">
        <v>8257.19</v>
      </c>
      <c r="H272" s="2">
        <v>6901246.0199999996</v>
      </c>
      <c r="I272" s="2">
        <f t="shared" si="4"/>
        <v>8257.19</v>
      </c>
    </row>
    <row r="273" spans="1:9" x14ac:dyDescent="0.2">
      <c r="A273" s="1">
        <v>244348</v>
      </c>
      <c r="B273" t="s">
        <v>294</v>
      </c>
      <c r="C273" t="s">
        <v>22</v>
      </c>
      <c r="D273" t="s">
        <v>315</v>
      </c>
      <c r="E273" t="s">
        <v>355</v>
      </c>
      <c r="F273" s="2">
        <v>3473.79</v>
      </c>
      <c r="H273" s="2">
        <v>6904719.8099999996</v>
      </c>
      <c r="I273" s="2">
        <f t="shared" si="4"/>
        <v>3473.79</v>
      </c>
    </row>
    <row r="274" spans="1:9" x14ac:dyDescent="0.2">
      <c r="A274" s="1">
        <v>244348</v>
      </c>
      <c r="B274" t="s">
        <v>286</v>
      </c>
      <c r="C274" t="s">
        <v>22</v>
      </c>
      <c r="D274" t="s">
        <v>315</v>
      </c>
      <c r="E274" t="s">
        <v>354</v>
      </c>
      <c r="F274" s="2">
        <v>18176.84</v>
      </c>
      <c r="H274" s="2">
        <v>6922896.6500000004</v>
      </c>
      <c r="I274" s="2">
        <f t="shared" si="4"/>
        <v>18176.84</v>
      </c>
    </row>
    <row r="275" spans="1:9" x14ac:dyDescent="0.2">
      <c r="A275" s="1">
        <v>244348</v>
      </c>
      <c r="B275" t="s">
        <v>313</v>
      </c>
      <c r="C275" t="s">
        <v>22</v>
      </c>
      <c r="D275" t="s">
        <v>315</v>
      </c>
      <c r="E275" t="s">
        <v>353</v>
      </c>
      <c r="F275" s="2">
        <v>18371.900000000001</v>
      </c>
      <c r="H275" s="2">
        <v>6941268.5499999998</v>
      </c>
      <c r="I275" s="2">
        <f t="shared" si="4"/>
        <v>18371.900000000001</v>
      </c>
    </row>
    <row r="276" spans="1:9" x14ac:dyDescent="0.2">
      <c r="A276" s="1">
        <v>244348</v>
      </c>
      <c r="B276" t="s">
        <v>295</v>
      </c>
      <c r="C276" t="s">
        <v>22</v>
      </c>
      <c r="D276" t="s">
        <v>315</v>
      </c>
      <c r="E276" t="s">
        <v>352</v>
      </c>
      <c r="F276" s="2">
        <v>13666.97</v>
      </c>
      <c r="H276" s="2">
        <v>6954935.5199999996</v>
      </c>
      <c r="I276" s="2">
        <f t="shared" si="4"/>
        <v>13666.97</v>
      </c>
    </row>
    <row r="277" spans="1:9" x14ac:dyDescent="0.2">
      <c r="A277" s="1">
        <v>244348</v>
      </c>
      <c r="B277" t="s">
        <v>276</v>
      </c>
      <c r="C277" t="s">
        <v>22</v>
      </c>
      <c r="D277" t="s">
        <v>315</v>
      </c>
      <c r="E277" t="s">
        <v>351</v>
      </c>
      <c r="F277" s="2">
        <v>21938.21</v>
      </c>
      <c r="H277" s="2">
        <v>6976873.7300000004</v>
      </c>
      <c r="I277" s="2">
        <f t="shared" si="4"/>
        <v>21938.21</v>
      </c>
    </row>
    <row r="278" spans="1:9" x14ac:dyDescent="0.2">
      <c r="A278" s="1">
        <v>244348</v>
      </c>
      <c r="B278" t="s">
        <v>296</v>
      </c>
      <c r="C278" t="s">
        <v>22</v>
      </c>
      <c r="D278" t="s">
        <v>315</v>
      </c>
      <c r="E278" t="s">
        <v>350</v>
      </c>
      <c r="F278" s="2">
        <v>9539.2000000000007</v>
      </c>
      <c r="H278" s="2">
        <v>6986412.9299999997</v>
      </c>
      <c r="I278" s="2">
        <f t="shared" si="4"/>
        <v>9539.2000000000007</v>
      </c>
    </row>
    <row r="279" spans="1:9" x14ac:dyDescent="0.2">
      <c r="A279" s="1">
        <v>244348</v>
      </c>
      <c r="B279" t="s">
        <v>297</v>
      </c>
      <c r="C279" t="s">
        <v>22</v>
      </c>
      <c r="D279" t="s">
        <v>315</v>
      </c>
      <c r="E279" t="s">
        <v>349</v>
      </c>
      <c r="F279" s="2">
        <v>2945.71</v>
      </c>
      <c r="H279" s="2">
        <v>6989358.6399999997</v>
      </c>
      <c r="I279" s="2">
        <f t="shared" si="4"/>
        <v>2945.71</v>
      </c>
    </row>
    <row r="280" spans="1:9" x14ac:dyDescent="0.2">
      <c r="A280" s="1">
        <v>244348</v>
      </c>
      <c r="B280" t="s">
        <v>298</v>
      </c>
      <c r="C280" t="s">
        <v>22</v>
      </c>
      <c r="D280" t="s">
        <v>315</v>
      </c>
      <c r="E280" t="s">
        <v>348</v>
      </c>
      <c r="F280" s="2">
        <v>2933.57</v>
      </c>
      <c r="H280" s="2">
        <v>6992292.21</v>
      </c>
      <c r="I280" s="2">
        <f t="shared" si="4"/>
        <v>2933.57</v>
      </c>
    </row>
    <row r="281" spans="1:9" x14ac:dyDescent="0.2">
      <c r="A281" s="1">
        <v>244348</v>
      </c>
      <c r="B281" t="s">
        <v>299</v>
      </c>
      <c r="C281" t="s">
        <v>22</v>
      </c>
      <c r="D281" t="s">
        <v>315</v>
      </c>
      <c r="E281" t="s">
        <v>347</v>
      </c>
      <c r="F281" s="2">
        <v>2553.02</v>
      </c>
      <c r="H281" s="2">
        <v>6994845.2300000004</v>
      </c>
      <c r="I281" s="2">
        <f t="shared" si="4"/>
        <v>2553.02</v>
      </c>
    </row>
    <row r="282" spans="1:9" x14ac:dyDescent="0.2">
      <c r="A282" s="1">
        <v>244348</v>
      </c>
      <c r="B282" t="s">
        <v>308</v>
      </c>
      <c r="C282" t="s">
        <v>22</v>
      </c>
      <c r="D282" t="s">
        <v>315</v>
      </c>
      <c r="E282" t="s">
        <v>346</v>
      </c>
      <c r="F282" s="2">
        <v>13235.9</v>
      </c>
      <c r="H282" s="2">
        <v>7008081.1299999999</v>
      </c>
      <c r="I282" s="2">
        <f t="shared" si="4"/>
        <v>13235.9</v>
      </c>
    </row>
    <row r="283" spans="1:9" x14ac:dyDescent="0.2">
      <c r="A283" s="1">
        <v>244348</v>
      </c>
      <c r="B283" t="s">
        <v>277</v>
      </c>
      <c r="C283" t="s">
        <v>22</v>
      </c>
      <c r="D283" t="s">
        <v>315</v>
      </c>
      <c r="E283" t="s">
        <v>345</v>
      </c>
      <c r="F283" s="2">
        <v>2706.03</v>
      </c>
      <c r="H283" s="2">
        <v>7010787.1600000001</v>
      </c>
      <c r="I283" s="2">
        <f t="shared" si="4"/>
        <v>2706.03</v>
      </c>
    </row>
    <row r="284" spans="1:9" x14ac:dyDescent="0.2">
      <c r="A284" s="1">
        <v>244348</v>
      </c>
      <c r="B284" t="s">
        <v>278</v>
      </c>
      <c r="C284" t="s">
        <v>22</v>
      </c>
      <c r="D284" t="s">
        <v>315</v>
      </c>
      <c r="E284" t="s">
        <v>344</v>
      </c>
      <c r="F284" s="2">
        <v>2706.03</v>
      </c>
      <c r="H284" s="2">
        <v>7013493.1900000004</v>
      </c>
      <c r="I284" s="2">
        <f t="shared" si="4"/>
        <v>2706.03</v>
      </c>
    </row>
    <row r="285" spans="1:9" x14ac:dyDescent="0.2">
      <c r="A285" s="1">
        <v>244349</v>
      </c>
      <c r="B285" t="s">
        <v>320</v>
      </c>
      <c r="C285" t="s">
        <v>19</v>
      </c>
      <c r="D285" t="s">
        <v>319</v>
      </c>
      <c r="E285" t="s">
        <v>343</v>
      </c>
      <c r="G285" s="2">
        <v>899900</v>
      </c>
      <c r="H285" s="2">
        <v>6113593.1900000004</v>
      </c>
      <c r="I285" s="2">
        <f t="shared" si="4"/>
        <v>-899900</v>
      </c>
    </row>
    <row r="286" spans="1:9" x14ac:dyDescent="0.2">
      <c r="A286" s="1">
        <v>244349</v>
      </c>
      <c r="B286" t="s">
        <v>320</v>
      </c>
      <c r="C286" t="s">
        <v>19</v>
      </c>
      <c r="D286" t="s">
        <v>319</v>
      </c>
      <c r="E286" t="s">
        <v>343</v>
      </c>
      <c r="G286" s="2">
        <v>2706.03</v>
      </c>
      <c r="H286" s="2">
        <v>6110887.1600000001</v>
      </c>
      <c r="I286" s="2">
        <f t="shared" si="4"/>
        <v>-2706.03</v>
      </c>
    </row>
    <row r="287" spans="1:9" x14ac:dyDescent="0.2">
      <c r="A287" s="1">
        <v>244349</v>
      </c>
      <c r="B287" t="s">
        <v>322</v>
      </c>
      <c r="C287" t="s">
        <v>19</v>
      </c>
      <c r="D287" t="s">
        <v>321</v>
      </c>
      <c r="E287" t="s">
        <v>342</v>
      </c>
      <c r="G287" s="2">
        <v>899900</v>
      </c>
      <c r="H287" s="2">
        <v>5210987.16</v>
      </c>
      <c r="I287" s="2">
        <f t="shared" si="4"/>
        <v>-899900</v>
      </c>
    </row>
    <row r="288" spans="1:9" x14ac:dyDescent="0.2">
      <c r="A288" s="1">
        <v>244349</v>
      </c>
      <c r="B288" t="s">
        <v>322</v>
      </c>
      <c r="C288" t="s">
        <v>19</v>
      </c>
      <c r="D288" t="s">
        <v>321</v>
      </c>
      <c r="E288" t="s">
        <v>342</v>
      </c>
      <c r="G288" s="2">
        <v>2706.03</v>
      </c>
      <c r="H288" s="2">
        <v>5208281.13</v>
      </c>
      <c r="I288" s="2">
        <f t="shared" si="4"/>
        <v>-2706.03</v>
      </c>
    </row>
    <row r="289" spans="1:9" x14ac:dyDescent="0.2">
      <c r="A289" s="1">
        <v>244349</v>
      </c>
      <c r="B289" t="s">
        <v>324</v>
      </c>
      <c r="C289" t="s">
        <v>19</v>
      </c>
      <c r="D289" t="s">
        <v>323</v>
      </c>
      <c r="E289" t="s">
        <v>341</v>
      </c>
      <c r="G289" s="2">
        <v>769900</v>
      </c>
      <c r="H289" s="2">
        <v>4438381.13</v>
      </c>
      <c r="I289" s="2">
        <f t="shared" si="4"/>
        <v>-769900</v>
      </c>
    </row>
    <row r="290" spans="1:9" x14ac:dyDescent="0.2">
      <c r="A290" s="1">
        <v>244349</v>
      </c>
      <c r="B290" t="s">
        <v>324</v>
      </c>
      <c r="C290" t="s">
        <v>19</v>
      </c>
      <c r="D290" t="s">
        <v>323</v>
      </c>
      <c r="E290" t="s">
        <v>341</v>
      </c>
      <c r="G290" s="2">
        <v>18176.84</v>
      </c>
      <c r="H290" s="2">
        <v>4420204.29</v>
      </c>
      <c r="I290" s="2">
        <f t="shared" si="4"/>
        <v>-18176.84</v>
      </c>
    </row>
  </sheetData>
  <autoFilter ref="A1:I290" xr:uid="{EA7CC8E9-2889-41DE-9E89-90CA7A017E2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2C36-C860-4D9E-932B-E73B4F17EB12}">
  <dimension ref="A3:D165"/>
  <sheetViews>
    <sheetView workbookViewId="0">
      <selection activeCell="C4" sqref="C4:D4"/>
    </sheetView>
  </sheetViews>
  <sheetFormatPr defaultRowHeight="14.25" x14ac:dyDescent="0.2"/>
  <cols>
    <col min="1" max="1" width="31" bestFit="1" customWidth="1"/>
    <col min="2" max="2" width="14.875" style="2" bestFit="1" customWidth="1"/>
    <col min="3" max="4" width="15.625" style="2" customWidth="1"/>
  </cols>
  <sheetData>
    <row r="3" spans="1:4" x14ac:dyDescent="0.2">
      <c r="A3" s="6" t="s">
        <v>328</v>
      </c>
      <c r="B3" s="2" t="s">
        <v>327</v>
      </c>
      <c r="C3" s="8" t="s">
        <v>330</v>
      </c>
      <c r="D3" s="8" t="s">
        <v>331</v>
      </c>
    </row>
    <row r="4" spans="1:4" x14ac:dyDescent="0.2">
      <c r="A4" s="7" t="s">
        <v>333</v>
      </c>
      <c r="B4" s="2">
        <v>-5.6388671509921551E-11</v>
      </c>
      <c r="C4" s="9">
        <f>IF(B4&gt;0,B4,0)</f>
        <v>0</v>
      </c>
      <c r="D4" s="9">
        <f>IF(B4&lt;0,B4,0)</f>
        <v>-5.6388671509921551E-11</v>
      </c>
    </row>
    <row r="5" spans="1:4" x14ac:dyDescent="0.2">
      <c r="A5" s="7" t="s">
        <v>334</v>
      </c>
      <c r="B5" s="2">
        <v>-8.3673512563109398E-11</v>
      </c>
      <c r="C5" s="9">
        <f t="shared" ref="C5:C68" si="0">IF(B5&gt;0,B5,0)</f>
        <v>0</v>
      </c>
      <c r="D5" s="9">
        <f t="shared" ref="D5:D68" si="1">IF(B5&lt;0,B5,0)</f>
        <v>-8.3673512563109398E-11</v>
      </c>
    </row>
    <row r="6" spans="1:4" x14ac:dyDescent="0.2">
      <c r="A6" s="7" t="s">
        <v>335</v>
      </c>
      <c r="B6" s="2">
        <v>-1.4551915228366852E-11</v>
      </c>
      <c r="C6" s="9">
        <f t="shared" si="0"/>
        <v>0</v>
      </c>
      <c r="D6" s="9">
        <f t="shared" si="1"/>
        <v>-1.4551915228366852E-11</v>
      </c>
    </row>
    <row r="7" spans="1:4" x14ac:dyDescent="0.2">
      <c r="A7" s="7" t="s">
        <v>336</v>
      </c>
      <c r="B7" s="2">
        <v>-2.7284841053187847E-11</v>
      </c>
      <c r="C7" s="9">
        <f t="shared" si="0"/>
        <v>0</v>
      </c>
      <c r="D7" s="9">
        <f t="shared" si="1"/>
        <v>-2.7284841053187847E-11</v>
      </c>
    </row>
    <row r="8" spans="1:4" x14ac:dyDescent="0.2">
      <c r="A8" s="7" t="s">
        <v>337</v>
      </c>
      <c r="B8" s="2">
        <v>-9.0949470177292824E-12</v>
      </c>
      <c r="C8" s="9">
        <f t="shared" si="0"/>
        <v>0</v>
      </c>
      <c r="D8" s="9">
        <f t="shared" si="1"/>
        <v>-9.0949470177292824E-12</v>
      </c>
    </row>
    <row r="9" spans="1:4" x14ac:dyDescent="0.2">
      <c r="A9" s="7" t="s">
        <v>338</v>
      </c>
      <c r="B9" s="2">
        <v>0</v>
      </c>
      <c r="C9" s="9">
        <f t="shared" si="0"/>
        <v>0</v>
      </c>
      <c r="D9" s="9">
        <f t="shared" si="1"/>
        <v>0</v>
      </c>
    </row>
    <row r="10" spans="1:4" x14ac:dyDescent="0.2">
      <c r="A10" s="7" t="s">
        <v>339</v>
      </c>
      <c r="B10" s="2">
        <v>0</v>
      </c>
      <c r="C10" s="9">
        <f t="shared" si="0"/>
        <v>0</v>
      </c>
      <c r="D10" s="9">
        <f t="shared" si="1"/>
        <v>0</v>
      </c>
    </row>
    <row r="11" spans="1:4" x14ac:dyDescent="0.2">
      <c r="A11" s="7" t="s">
        <v>340</v>
      </c>
      <c r="B11" s="2">
        <v>-9.0949470177292824E-12</v>
      </c>
      <c r="C11" s="9">
        <f t="shared" si="0"/>
        <v>0</v>
      </c>
      <c r="D11" s="9">
        <f t="shared" si="1"/>
        <v>-9.0949470177292824E-12</v>
      </c>
    </row>
    <row r="12" spans="1:4" x14ac:dyDescent="0.2">
      <c r="A12" s="7" t="s">
        <v>359</v>
      </c>
      <c r="B12" s="2">
        <v>477877.36</v>
      </c>
      <c r="C12" s="9">
        <f t="shared" si="0"/>
        <v>477877.36</v>
      </c>
      <c r="D12" s="9">
        <f t="shared" si="1"/>
        <v>0</v>
      </c>
    </row>
    <row r="13" spans="1:4" x14ac:dyDescent="0.2">
      <c r="A13" s="7" t="s">
        <v>358</v>
      </c>
      <c r="B13" s="2">
        <v>916890.29</v>
      </c>
      <c r="C13" s="9">
        <f t="shared" si="0"/>
        <v>916890.29</v>
      </c>
      <c r="D13" s="9">
        <f t="shared" si="1"/>
        <v>0</v>
      </c>
    </row>
    <row r="14" spans="1:4" x14ac:dyDescent="0.2">
      <c r="A14" s="7" t="s">
        <v>357</v>
      </c>
      <c r="B14" s="2">
        <v>602426.27</v>
      </c>
      <c r="C14" s="9">
        <f t="shared" si="0"/>
        <v>602426.27</v>
      </c>
      <c r="D14" s="9">
        <f t="shared" si="1"/>
        <v>0</v>
      </c>
    </row>
    <row r="15" spans="1:4" x14ac:dyDescent="0.2">
      <c r="A15" s="7" t="s">
        <v>356</v>
      </c>
      <c r="B15" s="2">
        <v>608157.18999999994</v>
      </c>
      <c r="C15" s="9">
        <f t="shared" si="0"/>
        <v>608157.18999999994</v>
      </c>
      <c r="D15" s="9">
        <f t="shared" si="1"/>
        <v>0</v>
      </c>
    </row>
    <row r="16" spans="1:4" x14ac:dyDescent="0.2">
      <c r="A16" s="7" t="s">
        <v>355</v>
      </c>
      <c r="B16" s="2">
        <v>773373.79</v>
      </c>
      <c r="C16" s="9">
        <f t="shared" si="0"/>
        <v>773373.79</v>
      </c>
      <c r="D16" s="9">
        <f t="shared" si="1"/>
        <v>0</v>
      </c>
    </row>
    <row r="17" spans="1:4" x14ac:dyDescent="0.2">
      <c r="A17" s="7" t="s">
        <v>354</v>
      </c>
      <c r="B17" s="2">
        <v>788076.84</v>
      </c>
      <c r="C17" s="9">
        <f t="shared" si="0"/>
        <v>788076.84</v>
      </c>
      <c r="D17" s="9">
        <f t="shared" si="1"/>
        <v>0</v>
      </c>
    </row>
    <row r="18" spans="1:4" x14ac:dyDescent="0.2">
      <c r="A18" s="7" t="s">
        <v>353</v>
      </c>
      <c r="B18" s="2">
        <v>1267371.8999999999</v>
      </c>
      <c r="C18" s="9">
        <f t="shared" si="0"/>
        <v>1267371.8999999999</v>
      </c>
      <c r="D18" s="9">
        <f t="shared" si="1"/>
        <v>0</v>
      </c>
    </row>
    <row r="19" spans="1:4" x14ac:dyDescent="0.2">
      <c r="A19" s="7" t="s">
        <v>352</v>
      </c>
      <c r="B19" s="2">
        <v>783566.97</v>
      </c>
      <c r="C19" s="9">
        <f t="shared" si="0"/>
        <v>783566.97</v>
      </c>
      <c r="D19" s="9">
        <f t="shared" si="1"/>
        <v>0</v>
      </c>
    </row>
    <row r="20" spans="1:4" x14ac:dyDescent="0.2">
      <c r="A20" s="7" t="s">
        <v>351</v>
      </c>
      <c r="B20" s="2">
        <v>921838.21</v>
      </c>
      <c r="C20" s="9">
        <f t="shared" si="0"/>
        <v>921838.21</v>
      </c>
      <c r="D20" s="9">
        <f t="shared" si="1"/>
        <v>0</v>
      </c>
    </row>
    <row r="21" spans="1:4" x14ac:dyDescent="0.2">
      <c r="A21" s="7" t="s">
        <v>350</v>
      </c>
      <c r="B21" s="2">
        <v>629439.19999999995</v>
      </c>
      <c r="C21" s="9">
        <f t="shared" si="0"/>
        <v>629439.19999999995</v>
      </c>
      <c r="D21" s="9">
        <f t="shared" si="1"/>
        <v>0</v>
      </c>
    </row>
    <row r="22" spans="1:4" x14ac:dyDescent="0.2">
      <c r="A22" s="7" t="s">
        <v>349</v>
      </c>
      <c r="B22" s="2">
        <v>622845.71</v>
      </c>
      <c r="C22" s="9">
        <f t="shared" si="0"/>
        <v>622845.71</v>
      </c>
      <c r="D22" s="9">
        <f t="shared" si="1"/>
        <v>0</v>
      </c>
    </row>
    <row r="23" spans="1:4" x14ac:dyDescent="0.2">
      <c r="A23" s="7" t="s">
        <v>348</v>
      </c>
      <c r="B23" s="2">
        <v>772833.57</v>
      </c>
      <c r="C23" s="9">
        <f t="shared" si="0"/>
        <v>772833.57</v>
      </c>
      <c r="D23" s="9">
        <f t="shared" si="1"/>
        <v>0</v>
      </c>
    </row>
    <row r="24" spans="1:4" x14ac:dyDescent="0.2">
      <c r="A24" s="7" t="s">
        <v>347</v>
      </c>
      <c r="B24" s="2">
        <v>622453.02</v>
      </c>
      <c r="C24" s="9">
        <f t="shared" si="0"/>
        <v>622453.02</v>
      </c>
      <c r="D24" s="9">
        <f t="shared" si="1"/>
        <v>0</v>
      </c>
    </row>
    <row r="25" spans="1:4" x14ac:dyDescent="0.2">
      <c r="A25" s="7" t="s">
        <v>346</v>
      </c>
      <c r="B25" s="2">
        <v>713135.9</v>
      </c>
      <c r="C25" s="9">
        <f t="shared" si="0"/>
        <v>713135.9</v>
      </c>
      <c r="D25" s="9">
        <f t="shared" si="1"/>
        <v>0</v>
      </c>
    </row>
    <row r="26" spans="1:4" x14ac:dyDescent="0.2">
      <c r="A26" s="7" t="s">
        <v>345</v>
      </c>
      <c r="B26" s="2">
        <v>902606.03</v>
      </c>
      <c r="C26" s="9">
        <f t="shared" si="0"/>
        <v>902606.03</v>
      </c>
      <c r="D26" s="9">
        <f t="shared" si="1"/>
        <v>0</v>
      </c>
    </row>
    <row r="27" spans="1:4" x14ac:dyDescent="0.2">
      <c r="A27" s="7" t="s">
        <v>344</v>
      </c>
      <c r="B27" s="2">
        <v>902606.03</v>
      </c>
      <c r="C27" s="9">
        <f t="shared" si="0"/>
        <v>902606.03</v>
      </c>
      <c r="D27" s="9">
        <f t="shared" si="1"/>
        <v>0</v>
      </c>
    </row>
    <row r="28" spans="1:4" x14ac:dyDescent="0.2">
      <c r="A28" s="7" t="s">
        <v>343</v>
      </c>
      <c r="B28" s="2">
        <v>-902606.03</v>
      </c>
      <c r="C28" s="9">
        <f t="shared" si="0"/>
        <v>0</v>
      </c>
      <c r="D28" s="9">
        <f t="shared" si="1"/>
        <v>-902606.03</v>
      </c>
    </row>
    <row r="29" spans="1:4" x14ac:dyDescent="0.2">
      <c r="A29" s="7" t="s">
        <v>342</v>
      </c>
      <c r="B29" s="2">
        <v>-902606.03</v>
      </c>
      <c r="C29" s="9">
        <f t="shared" si="0"/>
        <v>0</v>
      </c>
      <c r="D29" s="9">
        <f t="shared" si="1"/>
        <v>-902606.03</v>
      </c>
    </row>
    <row r="30" spans="1:4" x14ac:dyDescent="0.2">
      <c r="A30" s="7" t="s">
        <v>341</v>
      </c>
      <c r="B30" s="2">
        <v>-788076.84</v>
      </c>
      <c r="C30" s="9">
        <f t="shared" si="0"/>
        <v>0</v>
      </c>
      <c r="D30" s="9">
        <f t="shared" si="1"/>
        <v>-788076.84</v>
      </c>
    </row>
    <row r="31" spans="1:4" x14ac:dyDescent="0.2">
      <c r="A31" s="7" t="s">
        <v>366</v>
      </c>
      <c r="B31" s="2">
        <v>0</v>
      </c>
      <c r="C31" s="9">
        <f t="shared" si="0"/>
        <v>0</v>
      </c>
      <c r="D31" s="9">
        <f t="shared" si="1"/>
        <v>0</v>
      </c>
    </row>
    <row r="32" spans="1:4" x14ac:dyDescent="0.2">
      <c r="A32" s="7" t="s">
        <v>367</v>
      </c>
      <c r="B32" s="2">
        <v>0</v>
      </c>
      <c r="C32" s="9">
        <f t="shared" si="0"/>
        <v>0</v>
      </c>
      <c r="D32" s="9">
        <f t="shared" si="1"/>
        <v>0</v>
      </c>
    </row>
    <row r="33" spans="1:4" x14ac:dyDescent="0.2">
      <c r="A33" s="7" t="s">
        <v>365</v>
      </c>
      <c r="B33" s="2">
        <v>914687.34</v>
      </c>
      <c r="C33" s="9">
        <f t="shared" si="0"/>
        <v>914687.34</v>
      </c>
      <c r="D33" s="9">
        <f t="shared" si="1"/>
        <v>0</v>
      </c>
    </row>
    <row r="34" spans="1:4" x14ac:dyDescent="0.2">
      <c r="A34" s="7" t="s">
        <v>364</v>
      </c>
      <c r="B34" s="2">
        <v>911126.88</v>
      </c>
      <c r="C34" s="9">
        <f t="shared" si="0"/>
        <v>911126.88</v>
      </c>
      <c r="D34" s="9">
        <f t="shared" si="1"/>
        <v>0</v>
      </c>
    </row>
    <row r="35" spans="1:4" x14ac:dyDescent="0.2">
      <c r="A35" s="7" t="s">
        <v>363</v>
      </c>
      <c r="B35" s="2">
        <v>912744.28</v>
      </c>
      <c r="C35" s="9">
        <f t="shared" si="0"/>
        <v>912744.28</v>
      </c>
      <c r="D35" s="9">
        <f t="shared" si="1"/>
        <v>0</v>
      </c>
    </row>
    <row r="36" spans="1:4" x14ac:dyDescent="0.2">
      <c r="A36" s="7" t="s">
        <v>362</v>
      </c>
      <c r="B36" s="2">
        <v>923005.58</v>
      </c>
      <c r="C36" s="9">
        <f t="shared" si="0"/>
        <v>923005.58</v>
      </c>
      <c r="D36" s="9">
        <f t="shared" si="1"/>
        <v>0</v>
      </c>
    </row>
    <row r="37" spans="1:4" x14ac:dyDescent="0.2">
      <c r="A37" s="7" t="s">
        <v>361</v>
      </c>
      <c r="B37" s="2">
        <v>630745.52</v>
      </c>
      <c r="C37" s="9">
        <f t="shared" si="0"/>
        <v>630745.52</v>
      </c>
      <c r="D37" s="9">
        <f t="shared" si="1"/>
        <v>0</v>
      </c>
    </row>
    <row r="38" spans="1:4" x14ac:dyDescent="0.2">
      <c r="A38" s="7" t="s">
        <v>360</v>
      </c>
      <c r="B38" s="2">
        <v>783685.88</v>
      </c>
      <c r="C38" s="9">
        <f t="shared" si="0"/>
        <v>783685.88</v>
      </c>
      <c r="D38" s="9">
        <f t="shared" si="1"/>
        <v>0</v>
      </c>
    </row>
    <row r="39" spans="1:4" x14ac:dyDescent="0.2">
      <c r="A39" s="7" t="s">
        <v>368</v>
      </c>
      <c r="B39" s="2">
        <v>3.637978807091713E-11</v>
      </c>
      <c r="C39" s="9">
        <f t="shared" si="0"/>
        <v>3.637978807091713E-11</v>
      </c>
      <c r="D39" s="9">
        <f t="shared" si="1"/>
        <v>0</v>
      </c>
    </row>
    <row r="40" spans="1:4" x14ac:dyDescent="0.2">
      <c r="A40" s="7" t="s">
        <v>369</v>
      </c>
      <c r="B40" s="2">
        <v>0</v>
      </c>
      <c r="C40" s="9">
        <f t="shared" si="0"/>
        <v>0</v>
      </c>
      <c r="D40" s="9">
        <f t="shared" si="1"/>
        <v>0</v>
      </c>
    </row>
    <row r="41" spans="1:4" x14ac:dyDescent="0.2">
      <c r="A41" s="7" t="s">
        <v>370</v>
      </c>
      <c r="B41" s="2">
        <v>0</v>
      </c>
      <c r="C41" s="9">
        <f t="shared" si="0"/>
        <v>0</v>
      </c>
      <c r="D41" s="9">
        <f t="shared" si="1"/>
        <v>0</v>
      </c>
    </row>
    <row r="42" spans="1:4" x14ac:dyDescent="0.2">
      <c r="A42" s="7" t="s">
        <v>371</v>
      </c>
      <c r="B42" s="2">
        <v>0</v>
      </c>
      <c r="C42" s="9">
        <f t="shared" si="0"/>
        <v>0</v>
      </c>
      <c r="D42" s="9">
        <f t="shared" si="1"/>
        <v>0</v>
      </c>
    </row>
    <row r="43" spans="1:4" x14ac:dyDescent="0.2">
      <c r="A43" s="7" t="s">
        <v>372</v>
      </c>
      <c r="B43" s="2">
        <v>0</v>
      </c>
      <c r="C43" s="9">
        <f t="shared" si="0"/>
        <v>0</v>
      </c>
      <c r="D43" s="9">
        <f t="shared" si="1"/>
        <v>0</v>
      </c>
    </row>
    <row r="44" spans="1:4" x14ac:dyDescent="0.2">
      <c r="A44" s="7" t="s">
        <v>373</v>
      </c>
      <c r="B44" s="2">
        <v>-6.8212102632969618E-12</v>
      </c>
      <c r="C44" s="9">
        <f t="shared" si="0"/>
        <v>0</v>
      </c>
      <c r="D44" s="9">
        <f t="shared" si="1"/>
        <v>-6.8212102632969618E-12</v>
      </c>
    </row>
    <row r="45" spans="1:4" x14ac:dyDescent="0.2">
      <c r="A45" s="7" t="s">
        <v>374</v>
      </c>
      <c r="B45" s="2">
        <v>-3.2741809263825417E-11</v>
      </c>
      <c r="C45" s="9">
        <f t="shared" si="0"/>
        <v>0</v>
      </c>
      <c r="D45" s="9">
        <f t="shared" si="1"/>
        <v>-3.2741809263825417E-11</v>
      </c>
    </row>
    <row r="46" spans="1:4" x14ac:dyDescent="0.2">
      <c r="A46" s="7" t="s">
        <v>375</v>
      </c>
      <c r="B46" s="2">
        <v>0</v>
      </c>
      <c r="C46" s="9">
        <f t="shared" si="0"/>
        <v>0</v>
      </c>
      <c r="D46" s="9">
        <f t="shared" si="1"/>
        <v>0</v>
      </c>
    </row>
    <row r="47" spans="1:4" x14ac:dyDescent="0.2">
      <c r="A47" s="7" t="s">
        <v>376</v>
      </c>
      <c r="B47" s="2">
        <v>0</v>
      </c>
      <c r="C47" s="9">
        <f t="shared" si="0"/>
        <v>0</v>
      </c>
      <c r="D47" s="9">
        <f t="shared" si="1"/>
        <v>0</v>
      </c>
    </row>
    <row r="48" spans="1:4" x14ac:dyDescent="0.2">
      <c r="A48" s="7" t="s">
        <v>377</v>
      </c>
      <c r="B48" s="2">
        <v>-5.1386450650170445E-11</v>
      </c>
      <c r="C48" s="9">
        <f t="shared" si="0"/>
        <v>0</v>
      </c>
      <c r="D48" s="9">
        <f t="shared" si="1"/>
        <v>-5.1386450650170445E-11</v>
      </c>
    </row>
    <row r="49" spans="1:4" x14ac:dyDescent="0.2">
      <c r="A49" s="7" t="s">
        <v>378</v>
      </c>
      <c r="B49" s="2">
        <v>2.7284841053187847E-11</v>
      </c>
      <c r="C49" s="9">
        <f t="shared" si="0"/>
        <v>2.7284841053187847E-11</v>
      </c>
      <c r="D49" s="9">
        <f t="shared" si="1"/>
        <v>0</v>
      </c>
    </row>
    <row r="50" spans="1:4" x14ac:dyDescent="0.2">
      <c r="A50" s="7" t="s">
        <v>379</v>
      </c>
      <c r="B50" s="2">
        <v>0</v>
      </c>
      <c r="C50" s="9">
        <f t="shared" si="0"/>
        <v>0</v>
      </c>
      <c r="D50" s="9">
        <f t="shared" si="1"/>
        <v>0</v>
      </c>
    </row>
    <row r="51" spans="1:4" x14ac:dyDescent="0.2">
      <c r="A51" s="7" t="s">
        <v>380</v>
      </c>
      <c r="B51" s="2">
        <v>-4.1836756281554699E-11</v>
      </c>
      <c r="C51" s="9">
        <f t="shared" si="0"/>
        <v>0</v>
      </c>
      <c r="D51" s="9">
        <f t="shared" si="1"/>
        <v>-4.1836756281554699E-11</v>
      </c>
    </row>
    <row r="52" spans="1:4" x14ac:dyDescent="0.2">
      <c r="A52" s="7" t="s">
        <v>381</v>
      </c>
      <c r="B52" s="2">
        <v>0</v>
      </c>
      <c r="C52" s="9">
        <f t="shared" si="0"/>
        <v>0</v>
      </c>
      <c r="D52" s="9">
        <f t="shared" si="1"/>
        <v>0</v>
      </c>
    </row>
    <row r="53" spans="1:4" x14ac:dyDescent="0.2">
      <c r="A53" s="7" t="s">
        <v>382</v>
      </c>
      <c r="B53" s="2">
        <v>-2.5465851649641991E-11</v>
      </c>
      <c r="C53" s="9">
        <f t="shared" si="0"/>
        <v>0</v>
      </c>
      <c r="D53" s="9">
        <f t="shared" si="1"/>
        <v>-2.5465851649641991E-11</v>
      </c>
    </row>
    <row r="54" spans="1:4" x14ac:dyDescent="0.2">
      <c r="A54" s="7" t="s">
        <v>383</v>
      </c>
      <c r="B54" s="2">
        <v>0</v>
      </c>
      <c r="C54" s="9">
        <f t="shared" si="0"/>
        <v>0</v>
      </c>
      <c r="D54" s="9">
        <f t="shared" si="1"/>
        <v>0</v>
      </c>
    </row>
    <row r="55" spans="1:4" x14ac:dyDescent="0.2">
      <c r="A55" s="7" t="s">
        <v>384</v>
      </c>
      <c r="B55" s="2">
        <v>-9470.5699999999488</v>
      </c>
      <c r="C55" s="9">
        <f t="shared" si="0"/>
        <v>0</v>
      </c>
      <c r="D55" s="9">
        <f t="shared" si="1"/>
        <v>-9470.5699999999488</v>
      </c>
    </row>
    <row r="56" spans="1:4" x14ac:dyDescent="0.2">
      <c r="A56" s="7" t="s">
        <v>385</v>
      </c>
      <c r="B56" s="2">
        <v>-10335.129999999999</v>
      </c>
      <c r="C56" s="9">
        <f t="shared" si="0"/>
        <v>0</v>
      </c>
      <c r="D56" s="9">
        <f t="shared" si="1"/>
        <v>-10335.129999999999</v>
      </c>
    </row>
    <row r="57" spans="1:4" x14ac:dyDescent="0.2">
      <c r="A57" s="7" t="s">
        <v>386</v>
      </c>
      <c r="B57" s="2">
        <v>-2707.1</v>
      </c>
      <c r="C57" s="9">
        <f t="shared" si="0"/>
        <v>0</v>
      </c>
      <c r="D57" s="9">
        <f t="shared" si="1"/>
        <v>-2707.1</v>
      </c>
    </row>
    <row r="58" spans="1:4" x14ac:dyDescent="0.2">
      <c r="A58" s="7" t="s">
        <v>387</v>
      </c>
      <c r="B58" s="2">
        <v>-619900</v>
      </c>
      <c r="C58" s="9">
        <f t="shared" si="0"/>
        <v>0</v>
      </c>
      <c r="D58" s="9">
        <f t="shared" si="1"/>
        <v>-619900</v>
      </c>
    </row>
    <row r="59" spans="1:4" x14ac:dyDescent="0.2">
      <c r="A59" s="7" t="s">
        <v>388</v>
      </c>
      <c r="B59" s="2">
        <v>-469900</v>
      </c>
      <c r="C59" s="9">
        <f t="shared" si="0"/>
        <v>0</v>
      </c>
      <c r="D59" s="9">
        <f t="shared" si="1"/>
        <v>-469900</v>
      </c>
    </row>
    <row r="60" spans="1:4" x14ac:dyDescent="0.2">
      <c r="A60" s="7" t="s">
        <v>389</v>
      </c>
      <c r="B60" s="2">
        <v>-479209</v>
      </c>
      <c r="C60" s="9">
        <f t="shared" si="0"/>
        <v>0</v>
      </c>
      <c r="D60" s="9">
        <f t="shared" si="1"/>
        <v>-479209</v>
      </c>
    </row>
    <row r="61" spans="1:4" x14ac:dyDescent="0.2">
      <c r="A61" s="7" t="s">
        <v>390</v>
      </c>
      <c r="B61" s="2">
        <v>-613227.92000000004</v>
      </c>
      <c r="C61" s="9">
        <f t="shared" si="0"/>
        <v>0</v>
      </c>
      <c r="D61" s="9">
        <f t="shared" si="1"/>
        <v>-613227.92000000004</v>
      </c>
    </row>
    <row r="62" spans="1:4" x14ac:dyDescent="0.2">
      <c r="A62" s="7" t="s">
        <v>391</v>
      </c>
      <c r="B62" s="2">
        <v>-773558.33</v>
      </c>
      <c r="C62" s="9">
        <f t="shared" si="0"/>
        <v>0</v>
      </c>
      <c r="D62" s="9">
        <f t="shared" si="1"/>
        <v>-773558.33</v>
      </c>
    </row>
    <row r="63" spans="1:4" x14ac:dyDescent="0.2">
      <c r="A63" s="7" t="s">
        <v>392</v>
      </c>
      <c r="B63" s="2">
        <v>-899900</v>
      </c>
      <c r="C63" s="9">
        <f t="shared" si="0"/>
        <v>0</v>
      </c>
      <c r="D63" s="9">
        <f t="shared" si="1"/>
        <v>-899900</v>
      </c>
    </row>
    <row r="64" spans="1:4" x14ac:dyDescent="0.2">
      <c r="A64" s="7" t="s">
        <v>393</v>
      </c>
      <c r="B64" s="2">
        <v>-619900</v>
      </c>
      <c r="C64" s="9">
        <f t="shared" si="0"/>
        <v>0</v>
      </c>
      <c r="D64" s="9">
        <f t="shared" si="1"/>
        <v>-619900</v>
      </c>
    </row>
    <row r="65" spans="1:4" x14ac:dyDescent="0.2">
      <c r="A65" s="7" t="s">
        <v>394</v>
      </c>
      <c r="B65" s="2">
        <v>-599900</v>
      </c>
      <c r="C65" s="9">
        <f t="shared" si="0"/>
        <v>0</v>
      </c>
      <c r="D65" s="9">
        <f t="shared" si="1"/>
        <v>-599900</v>
      </c>
    </row>
    <row r="66" spans="1:4" x14ac:dyDescent="0.2">
      <c r="A66" s="7" t="s">
        <v>395</v>
      </c>
      <c r="B66" s="2">
        <v>-602306.43000000005</v>
      </c>
      <c r="C66" s="9">
        <f t="shared" si="0"/>
        <v>0</v>
      </c>
      <c r="D66" s="9">
        <f t="shared" si="1"/>
        <v>-602306.43000000005</v>
      </c>
    </row>
    <row r="67" spans="1:4" x14ac:dyDescent="0.2">
      <c r="A67" s="7" t="s">
        <v>396</v>
      </c>
      <c r="B67" s="2">
        <v>-869900</v>
      </c>
      <c r="C67" s="9">
        <f t="shared" si="0"/>
        <v>0</v>
      </c>
      <c r="D67" s="9">
        <f t="shared" si="1"/>
        <v>-869900</v>
      </c>
    </row>
    <row r="68" spans="1:4" x14ac:dyDescent="0.2">
      <c r="A68" s="7" t="s">
        <v>397</v>
      </c>
      <c r="B68" s="2">
        <v>-909378.06</v>
      </c>
      <c r="C68" s="9">
        <f t="shared" si="0"/>
        <v>0</v>
      </c>
      <c r="D68" s="9">
        <f t="shared" si="1"/>
        <v>-909378.06</v>
      </c>
    </row>
    <row r="69" spans="1:4" x14ac:dyDescent="0.2">
      <c r="A69" s="7" t="s">
        <v>398</v>
      </c>
      <c r="B69" s="2">
        <v>-784172.52</v>
      </c>
      <c r="C69" s="9">
        <f t="shared" ref="C69:C132" si="2">IF(B69&gt;0,B69,0)</f>
        <v>0</v>
      </c>
      <c r="D69" s="9">
        <f t="shared" ref="D69:D132" si="3">IF(B69&lt;0,B69,0)</f>
        <v>-784172.52</v>
      </c>
    </row>
    <row r="70" spans="1:4" x14ac:dyDescent="0.2">
      <c r="A70" s="7" t="s">
        <v>399</v>
      </c>
      <c r="B70" s="2">
        <v>0</v>
      </c>
      <c r="C70" s="9">
        <f t="shared" si="2"/>
        <v>0</v>
      </c>
      <c r="D70" s="9">
        <f t="shared" si="3"/>
        <v>0</v>
      </c>
    </row>
    <row r="71" spans="1:4" x14ac:dyDescent="0.2">
      <c r="A71" s="7" t="s">
        <v>400</v>
      </c>
      <c r="B71" s="2">
        <v>-589900</v>
      </c>
      <c r="C71" s="9">
        <f t="shared" si="2"/>
        <v>0</v>
      </c>
      <c r="D71" s="9">
        <f t="shared" si="3"/>
        <v>-589900</v>
      </c>
    </row>
    <row r="72" spans="1:4" x14ac:dyDescent="0.2">
      <c r="A72" s="7" t="s">
        <v>401</v>
      </c>
      <c r="B72" s="2">
        <v>-917809.66</v>
      </c>
      <c r="C72" s="9">
        <f t="shared" si="2"/>
        <v>0</v>
      </c>
      <c r="D72" s="9">
        <f t="shared" si="3"/>
        <v>-917809.66</v>
      </c>
    </row>
    <row r="73" spans="1:4" x14ac:dyDescent="0.2">
      <c r="A73" s="7" t="s">
        <v>402</v>
      </c>
      <c r="B73" s="2">
        <v>-866900</v>
      </c>
      <c r="C73" s="9">
        <f t="shared" si="2"/>
        <v>0</v>
      </c>
      <c r="D73" s="9">
        <f t="shared" si="3"/>
        <v>-866900</v>
      </c>
    </row>
    <row r="74" spans="1:4" x14ac:dyDescent="0.2">
      <c r="A74" s="7" t="s">
        <v>403</v>
      </c>
      <c r="B74" s="2">
        <v>-616900</v>
      </c>
      <c r="C74" s="9">
        <f t="shared" si="2"/>
        <v>0</v>
      </c>
      <c r="D74" s="9">
        <f t="shared" si="3"/>
        <v>-616900</v>
      </c>
    </row>
    <row r="75" spans="1:4" x14ac:dyDescent="0.2">
      <c r="A75" s="7" t="s">
        <v>404</v>
      </c>
      <c r="B75" s="2">
        <v>-622306.43000000005</v>
      </c>
      <c r="C75" s="9">
        <f t="shared" si="2"/>
        <v>0</v>
      </c>
      <c r="D75" s="9">
        <f t="shared" si="3"/>
        <v>-622306.43000000005</v>
      </c>
    </row>
    <row r="76" spans="1:4" x14ac:dyDescent="0.2">
      <c r="A76" s="7" t="s">
        <v>405</v>
      </c>
      <c r="B76" s="2">
        <v>-608295.22</v>
      </c>
      <c r="C76" s="9">
        <f t="shared" si="2"/>
        <v>0</v>
      </c>
      <c r="D76" s="9">
        <f t="shared" si="3"/>
        <v>-608295.22</v>
      </c>
    </row>
    <row r="77" spans="1:4" x14ac:dyDescent="0.2">
      <c r="A77" s="7" t="s">
        <v>406</v>
      </c>
      <c r="B77" s="2">
        <v>-630745.52</v>
      </c>
      <c r="C77" s="9">
        <f t="shared" si="2"/>
        <v>0</v>
      </c>
      <c r="D77" s="9">
        <f t="shared" si="3"/>
        <v>-630745.52</v>
      </c>
    </row>
    <row r="78" spans="1:4" x14ac:dyDescent="0.2">
      <c r="A78" s="7" t="s">
        <v>407</v>
      </c>
      <c r="B78" s="2">
        <v>-479099.66</v>
      </c>
      <c r="C78" s="9">
        <f t="shared" si="2"/>
        <v>0</v>
      </c>
      <c r="D78" s="9">
        <f t="shared" si="3"/>
        <v>-479099.66</v>
      </c>
    </row>
    <row r="79" spans="1:4" x14ac:dyDescent="0.2">
      <c r="A79" s="7" t="s">
        <v>408</v>
      </c>
      <c r="B79" s="2">
        <v>-599900</v>
      </c>
      <c r="C79" s="9">
        <f t="shared" si="2"/>
        <v>0</v>
      </c>
      <c r="D79" s="9">
        <f t="shared" si="3"/>
        <v>-599900</v>
      </c>
    </row>
    <row r="80" spans="1:4" x14ac:dyDescent="0.2">
      <c r="A80" s="7" t="s">
        <v>409</v>
      </c>
      <c r="B80" s="2">
        <v>-614900</v>
      </c>
      <c r="C80" s="9">
        <f t="shared" si="2"/>
        <v>0</v>
      </c>
      <c r="D80" s="9">
        <f t="shared" si="3"/>
        <v>-614900</v>
      </c>
    </row>
    <row r="81" spans="1:4" x14ac:dyDescent="0.2">
      <c r="A81" s="7" t="s">
        <v>410</v>
      </c>
      <c r="B81" s="2">
        <v>-599900</v>
      </c>
      <c r="C81" s="9">
        <f t="shared" si="2"/>
        <v>0</v>
      </c>
      <c r="D81" s="9">
        <f t="shared" si="3"/>
        <v>-599900</v>
      </c>
    </row>
    <row r="82" spans="1:4" x14ac:dyDescent="0.2">
      <c r="A82" s="7" t="s">
        <v>411</v>
      </c>
      <c r="B82" s="2">
        <v>-783685.88</v>
      </c>
      <c r="C82" s="9">
        <f t="shared" si="2"/>
        <v>0</v>
      </c>
      <c r="D82" s="9">
        <f t="shared" si="3"/>
        <v>-783685.88</v>
      </c>
    </row>
    <row r="83" spans="1:4" x14ac:dyDescent="0.2">
      <c r="A83" s="7" t="s">
        <v>412</v>
      </c>
      <c r="B83" s="2">
        <v>-923005.58</v>
      </c>
      <c r="C83" s="9">
        <f t="shared" si="2"/>
        <v>0</v>
      </c>
      <c r="D83" s="9">
        <f t="shared" si="3"/>
        <v>-923005.58</v>
      </c>
    </row>
    <row r="84" spans="1:4" x14ac:dyDescent="0.2">
      <c r="A84" s="7" t="s">
        <v>413</v>
      </c>
      <c r="B84" s="2">
        <v>-479457.24</v>
      </c>
      <c r="C84" s="9">
        <f t="shared" si="2"/>
        <v>0</v>
      </c>
      <c r="D84" s="9">
        <f t="shared" si="3"/>
        <v>-479457.24</v>
      </c>
    </row>
    <row r="85" spans="1:4" x14ac:dyDescent="0.2">
      <c r="A85" s="7" t="s">
        <v>414</v>
      </c>
      <c r="B85" s="2">
        <v>-674900</v>
      </c>
      <c r="C85" s="9">
        <f t="shared" si="2"/>
        <v>0</v>
      </c>
      <c r="D85" s="9">
        <f t="shared" si="3"/>
        <v>-674900</v>
      </c>
    </row>
    <row r="86" spans="1:4" x14ac:dyDescent="0.2">
      <c r="A86" s="7" t="s">
        <v>415</v>
      </c>
      <c r="B86" s="2">
        <v>-911126.88</v>
      </c>
      <c r="C86" s="9">
        <f t="shared" si="2"/>
        <v>0</v>
      </c>
      <c r="D86" s="9">
        <f t="shared" si="3"/>
        <v>-911126.88</v>
      </c>
    </row>
    <row r="87" spans="1:4" x14ac:dyDescent="0.2">
      <c r="A87" s="7" t="s">
        <v>416</v>
      </c>
      <c r="B87" s="2">
        <v>-844260.47</v>
      </c>
      <c r="C87" s="9">
        <f t="shared" si="2"/>
        <v>0</v>
      </c>
      <c r="D87" s="9">
        <f t="shared" si="3"/>
        <v>-844260.47</v>
      </c>
    </row>
    <row r="88" spans="1:4" x14ac:dyDescent="0.2">
      <c r="A88" s="7" t="s">
        <v>417</v>
      </c>
      <c r="B88" s="2">
        <v>-477877.36</v>
      </c>
      <c r="C88" s="9">
        <f t="shared" si="2"/>
        <v>0</v>
      </c>
      <c r="D88" s="9">
        <f t="shared" si="3"/>
        <v>-477877.36</v>
      </c>
    </row>
    <row r="89" spans="1:4" x14ac:dyDescent="0.2">
      <c r="A89" s="7" t="s">
        <v>418</v>
      </c>
      <c r="B89" s="2">
        <v>-912744.28</v>
      </c>
      <c r="C89" s="9">
        <f t="shared" si="2"/>
        <v>0</v>
      </c>
      <c r="D89" s="9">
        <f t="shared" si="3"/>
        <v>-912744.28</v>
      </c>
    </row>
    <row r="90" spans="1:4" x14ac:dyDescent="0.2">
      <c r="A90" s="7" t="s">
        <v>419</v>
      </c>
      <c r="B90" s="2">
        <v>-630745.52</v>
      </c>
      <c r="C90" s="9">
        <f t="shared" si="2"/>
        <v>0</v>
      </c>
      <c r="D90" s="9">
        <f t="shared" si="3"/>
        <v>-630745.52</v>
      </c>
    </row>
    <row r="91" spans="1:4" x14ac:dyDescent="0.2">
      <c r="A91" s="7" t="s">
        <v>420</v>
      </c>
      <c r="B91" s="2">
        <v>-773373.79</v>
      </c>
      <c r="C91" s="9">
        <f t="shared" si="2"/>
        <v>0</v>
      </c>
      <c r="D91" s="9">
        <f t="shared" si="3"/>
        <v>-773373.79</v>
      </c>
    </row>
    <row r="92" spans="1:4" x14ac:dyDescent="0.2">
      <c r="A92" s="7" t="s">
        <v>421</v>
      </c>
      <c r="B92" s="2">
        <v>-608157.18999999994</v>
      </c>
      <c r="C92" s="9">
        <f t="shared" si="2"/>
        <v>0</v>
      </c>
      <c r="D92" s="9">
        <f t="shared" si="3"/>
        <v>-608157.18999999994</v>
      </c>
    </row>
    <row r="93" spans="1:4" x14ac:dyDescent="0.2">
      <c r="A93" s="7" t="s">
        <v>422</v>
      </c>
      <c r="B93" s="2">
        <v>-899900</v>
      </c>
      <c r="C93" s="9">
        <f t="shared" si="2"/>
        <v>0</v>
      </c>
      <c r="D93" s="9">
        <f t="shared" si="3"/>
        <v>-899900</v>
      </c>
    </row>
    <row r="94" spans="1:4" x14ac:dyDescent="0.2">
      <c r="A94" s="7" t="s">
        <v>423</v>
      </c>
      <c r="B94" s="2">
        <v>-1249000</v>
      </c>
      <c r="C94" s="9">
        <f t="shared" si="2"/>
        <v>0</v>
      </c>
      <c r="D94" s="9">
        <f t="shared" si="3"/>
        <v>-1249000</v>
      </c>
    </row>
    <row r="95" spans="1:4" x14ac:dyDescent="0.2">
      <c r="A95" s="7" t="s">
        <v>424</v>
      </c>
      <c r="B95" s="2">
        <v>-602426.27</v>
      </c>
      <c r="C95" s="9">
        <f t="shared" si="2"/>
        <v>0</v>
      </c>
      <c r="D95" s="9">
        <f t="shared" si="3"/>
        <v>-602426.27</v>
      </c>
    </row>
    <row r="96" spans="1:4" x14ac:dyDescent="0.2">
      <c r="A96" s="7" t="s">
        <v>425</v>
      </c>
      <c r="B96" s="2">
        <v>-622453.02</v>
      </c>
      <c r="C96" s="9">
        <f t="shared" si="2"/>
        <v>0</v>
      </c>
      <c r="D96" s="9">
        <f t="shared" si="3"/>
        <v>-622453.02</v>
      </c>
    </row>
    <row r="97" spans="1:4" x14ac:dyDescent="0.2">
      <c r="A97" s="7" t="s">
        <v>426</v>
      </c>
      <c r="B97" s="2">
        <v>-921838.21</v>
      </c>
      <c r="C97" s="9">
        <f t="shared" si="2"/>
        <v>0</v>
      </c>
      <c r="D97" s="9">
        <f t="shared" si="3"/>
        <v>-921838.21</v>
      </c>
    </row>
    <row r="98" spans="1:4" x14ac:dyDescent="0.2">
      <c r="A98" s="7" t="s">
        <v>427</v>
      </c>
      <c r="B98" s="2">
        <v>-914687.34</v>
      </c>
      <c r="C98" s="9">
        <f t="shared" si="2"/>
        <v>0</v>
      </c>
      <c r="D98" s="9">
        <f t="shared" si="3"/>
        <v>-914687.34</v>
      </c>
    </row>
    <row r="99" spans="1:4" x14ac:dyDescent="0.2">
      <c r="A99" s="7" t="s">
        <v>428</v>
      </c>
      <c r="B99" s="2">
        <v>-782020.94</v>
      </c>
      <c r="C99" s="9">
        <f t="shared" si="2"/>
        <v>0</v>
      </c>
      <c r="D99" s="9">
        <f t="shared" si="3"/>
        <v>-782020.94</v>
      </c>
    </row>
    <row r="100" spans="1:4" x14ac:dyDescent="0.2">
      <c r="A100" s="7" t="s">
        <v>429</v>
      </c>
      <c r="B100" s="2">
        <v>-772833.57</v>
      </c>
      <c r="C100" s="9">
        <f t="shared" si="2"/>
        <v>0</v>
      </c>
      <c r="D100" s="9">
        <f t="shared" si="3"/>
        <v>-772833.57</v>
      </c>
    </row>
    <row r="101" spans="1:4" x14ac:dyDescent="0.2">
      <c r="A101" s="7" t="s">
        <v>430</v>
      </c>
      <c r="B101" s="2">
        <v>-629439.19999999995</v>
      </c>
      <c r="C101" s="9">
        <f t="shared" si="2"/>
        <v>0</v>
      </c>
      <c r="D101" s="9">
        <f t="shared" si="3"/>
        <v>-629439.19999999995</v>
      </c>
    </row>
    <row r="102" spans="1:4" x14ac:dyDescent="0.2">
      <c r="A102" s="7" t="s">
        <v>431</v>
      </c>
      <c r="B102" s="2">
        <v>-783566.97</v>
      </c>
      <c r="C102" s="9">
        <f t="shared" si="2"/>
        <v>0</v>
      </c>
      <c r="D102" s="9">
        <f t="shared" si="3"/>
        <v>-783566.97</v>
      </c>
    </row>
    <row r="103" spans="1:4" x14ac:dyDescent="0.2">
      <c r="A103" s="7" t="s">
        <v>432</v>
      </c>
      <c r="B103" s="2">
        <v>-713135.9</v>
      </c>
      <c r="C103" s="9">
        <f t="shared" si="2"/>
        <v>0</v>
      </c>
      <c r="D103" s="9">
        <f t="shared" si="3"/>
        <v>-713135.9</v>
      </c>
    </row>
    <row r="104" spans="1:4" x14ac:dyDescent="0.2">
      <c r="A104" s="7" t="s">
        <v>433</v>
      </c>
      <c r="B104" s="2">
        <v>-622845.71</v>
      </c>
      <c r="C104" s="9">
        <f t="shared" si="2"/>
        <v>0</v>
      </c>
      <c r="D104" s="9">
        <f t="shared" si="3"/>
        <v>-622845.71</v>
      </c>
    </row>
    <row r="105" spans="1:4" x14ac:dyDescent="0.2">
      <c r="A105" s="7" t="s">
        <v>434</v>
      </c>
      <c r="B105" s="2">
        <v>-1267371.8999999999</v>
      </c>
      <c r="C105" s="9">
        <f t="shared" si="2"/>
        <v>0</v>
      </c>
      <c r="D105" s="9">
        <f t="shared" si="3"/>
        <v>-1267371.8999999999</v>
      </c>
    </row>
    <row r="106" spans="1:4" x14ac:dyDescent="0.2">
      <c r="A106" s="7" t="s">
        <v>435</v>
      </c>
      <c r="B106" s="2">
        <v>-134985</v>
      </c>
      <c r="C106" s="9">
        <f t="shared" si="2"/>
        <v>0</v>
      </c>
      <c r="D106" s="9">
        <f t="shared" si="3"/>
        <v>-134985</v>
      </c>
    </row>
    <row r="107" spans="1:4" x14ac:dyDescent="0.2">
      <c r="A107" s="7" t="s">
        <v>436</v>
      </c>
      <c r="B107" s="2">
        <v>-83340</v>
      </c>
      <c r="C107" s="9">
        <f t="shared" si="2"/>
        <v>0</v>
      </c>
      <c r="D107" s="9">
        <f t="shared" si="3"/>
        <v>-83340</v>
      </c>
    </row>
    <row r="108" spans="1:4" x14ac:dyDescent="0.2">
      <c r="A108" s="7" t="s">
        <v>437</v>
      </c>
      <c r="B108" s="2">
        <v>-187861</v>
      </c>
      <c r="C108" s="9">
        <f t="shared" si="2"/>
        <v>0</v>
      </c>
      <c r="D108" s="9">
        <f t="shared" si="3"/>
        <v>-187861</v>
      </c>
    </row>
    <row r="109" spans="1:4" x14ac:dyDescent="0.2">
      <c r="A109" s="7" t="s">
        <v>438</v>
      </c>
      <c r="B109" s="2">
        <v>-3980</v>
      </c>
      <c r="C109" s="9">
        <f t="shared" si="2"/>
        <v>0</v>
      </c>
      <c r="D109" s="9">
        <f t="shared" si="3"/>
        <v>-3980</v>
      </c>
    </row>
    <row r="110" spans="1:4" x14ac:dyDescent="0.2">
      <c r="A110" s="7" t="s">
        <v>439</v>
      </c>
      <c r="B110" s="2">
        <v>-185970</v>
      </c>
      <c r="C110" s="9">
        <f t="shared" si="2"/>
        <v>0</v>
      </c>
      <c r="D110" s="9">
        <f t="shared" si="3"/>
        <v>-185970</v>
      </c>
    </row>
    <row r="111" spans="1:4" x14ac:dyDescent="0.2">
      <c r="A111" s="7" t="s">
        <v>440</v>
      </c>
      <c r="B111" s="2">
        <v>-449950</v>
      </c>
      <c r="C111" s="9">
        <f t="shared" si="2"/>
        <v>0</v>
      </c>
      <c r="D111" s="9">
        <f t="shared" si="3"/>
        <v>-449950</v>
      </c>
    </row>
    <row r="112" spans="1:4" x14ac:dyDescent="0.2">
      <c r="A112" s="7" t="s">
        <v>441</v>
      </c>
      <c r="B112" s="2">
        <v>479457.24</v>
      </c>
      <c r="C112" s="9">
        <f t="shared" si="2"/>
        <v>479457.24</v>
      </c>
      <c r="D112" s="9">
        <f t="shared" si="3"/>
        <v>0</v>
      </c>
    </row>
    <row r="113" spans="1:4" x14ac:dyDescent="0.2">
      <c r="A113" s="7" t="s">
        <v>442</v>
      </c>
      <c r="B113" s="2">
        <v>479099.66</v>
      </c>
      <c r="C113" s="9">
        <f t="shared" si="2"/>
        <v>479099.66</v>
      </c>
      <c r="D113" s="9">
        <f t="shared" si="3"/>
        <v>0</v>
      </c>
    </row>
    <row r="114" spans="1:4" x14ac:dyDescent="0.2">
      <c r="A114" s="7" t="s">
        <v>443</v>
      </c>
      <c r="B114" s="2">
        <v>479209</v>
      </c>
      <c r="C114" s="9">
        <f t="shared" si="2"/>
        <v>479209</v>
      </c>
      <c r="D114" s="9">
        <f t="shared" si="3"/>
        <v>0</v>
      </c>
    </row>
    <row r="115" spans="1:4" x14ac:dyDescent="0.2">
      <c r="A115" s="7" t="s">
        <v>444</v>
      </c>
      <c r="B115" s="2">
        <v>469900</v>
      </c>
      <c r="C115" s="9">
        <f t="shared" si="2"/>
        <v>469900</v>
      </c>
      <c r="D115" s="9">
        <f t="shared" si="3"/>
        <v>0</v>
      </c>
    </row>
    <row r="116" spans="1:4" x14ac:dyDescent="0.2">
      <c r="A116" s="7" t="s">
        <v>445</v>
      </c>
      <c r="B116" s="2">
        <v>613227.92000000004</v>
      </c>
      <c r="C116" s="9">
        <f t="shared" si="2"/>
        <v>613227.92000000004</v>
      </c>
      <c r="D116" s="9">
        <f t="shared" si="3"/>
        <v>0</v>
      </c>
    </row>
    <row r="117" spans="1:4" x14ac:dyDescent="0.2">
      <c r="A117" s="7" t="s">
        <v>446</v>
      </c>
      <c r="B117" s="2">
        <v>602306.43000000005</v>
      </c>
      <c r="C117" s="9">
        <f t="shared" si="2"/>
        <v>602306.43000000005</v>
      </c>
      <c r="D117" s="9">
        <f t="shared" si="3"/>
        <v>0</v>
      </c>
    </row>
    <row r="118" spans="1:4" x14ac:dyDescent="0.2">
      <c r="A118" s="7" t="s">
        <v>447</v>
      </c>
      <c r="B118" s="2">
        <v>608295.22</v>
      </c>
      <c r="C118" s="9">
        <f t="shared" si="2"/>
        <v>608295.22</v>
      </c>
      <c r="D118" s="9">
        <f t="shared" si="3"/>
        <v>0</v>
      </c>
    </row>
    <row r="119" spans="1:4" x14ac:dyDescent="0.2">
      <c r="A119" s="7" t="s">
        <v>448</v>
      </c>
      <c r="B119" s="2">
        <v>599900</v>
      </c>
      <c r="C119" s="9">
        <f t="shared" si="2"/>
        <v>599900</v>
      </c>
      <c r="D119" s="9">
        <f t="shared" si="3"/>
        <v>0</v>
      </c>
    </row>
    <row r="120" spans="1:4" x14ac:dyDescent="0.2">
      <c r="A120" s="7" t="s">
        <v>449</v>
      </c>
      <c r="B120" s="2">
        <v>599900</v>
      </c>
      <c r="C120" s="9">
        <f t="shared" si="2"/>
        <v>599900</v>
      </c>
      <c r="D120" s="9">
        <f t="shared" si="3"/>
        <v>0</v>
      </c>
    </row>
    <row r="121" spans="1:4" x14ac:dyDescent="0.2">
      <c r="A121" s="7" t="s">
        <v>450</v>
      </c>
      <c r="B121" s="2">
        <v>599900</v>
      </c>
      <c r="C121" s="9">
        <f t="shared" si="2"/>
        <v>599900</v>
      </c>
      <c r="D121" s="9">
        <f t="shared" si="3"/>
        <v>0</v>
      </c>
    </row>
    <row r="122" spans="1:4" x14ac:dyDescent="0.2">
      <c r="A122" s="7" t="s">
        <v>451</v>
      </c>
      <c r="B122" s="2">
        <v>599900</v>
      </c>
      <c r="C122" s="9">
        <f t="shared" si="2"/>
        <v>599900</v>
      </c>
      <c r="D122" s="9">
        <f t="shared" si="3"/>
        <v>0</v>
      </c>
    </row>
    <row r="123" spans="1:4" x14ac:dyDescent="0.2">
      <c r="A123" s="7" t="s">
        <v>452</v>
      </c>
      <c r="B123" s="2">
        <v>899900</v>
      </c>
      <c r="C123" s="9">
        <f t="shared" si="2"/>
        <v>899900</v>
      </c>
      <c r="D123" s="9">
        <f t="shared" si="3"/>
        <v>0</v>
      </c>
    </row>
    <row r="124" spans="1:4" x14ac:dyDescent="0.2">
      <c r="A124" s="7" t="s">
        <v>453</v>
      </c>
      <c r="B124" s="2">
        <v>909378.06</v>
      </c>
      <c r="C124" s="9">
        <f t="shared" si="2"/>
        <v>909378.06</v>
      </c>
      <c r="D124" s="9">
        <f t="shared" si="3"/>
        <v>0</v>
      </c>
    </row>
    <row r="125" spans="1:4" x14ac:dyDescent="0.2">
      <c r="A125" s="7" t="s">
        <v>454</v>
      </c>
      <c r="B125" s="2">
        <v>917809.66</v>
      </c>
      <c r="C125" s="9">
        <f t="shared" si="2"/>
        <v>917809.66</v>
      </c>
      <c r="D125" s="9">
        <f t="shared" si="3"/>
        <v>0</v>
      </c>
    </row>
    <row r="126" spans="1:4" x14ac:dyDescent="0.2">
      <c r="A126" s="7" t="s">
        <v>455</v>
      </c>
      <c r="B126" s="2">
        <v>902765.14</v>
      </c>
      <c r="C126" s="9">
        <f t="shared" si="2"/>
        <v>902765.14</v>
      </c>
      <c r="D126" s="9">
        <f t="shared" si="3"/>
        <v>0</v>
      </c>
    </row>
    <row r="127" spans="1:4" x14ac:dyDescent="0.2">
      <c r="A127" s="7" t="s">
        <v>456</v>
      </c>
      <c r="B127" s="2">
        <v>899900</v>
      </c>
      <c r="C127" s="9">
        <f t="shared" si="2"/>
        <v>899900</v>
      </c>
      <c r="D127" s="9">
        <f t="shared" si="3"/>
        <v>0</v>
      </c>
    </row>
    <row r="128" spans="1:4" x14ac:dyDescent="0.2">
      <c r="A128" s="7" t="s">
        <v>457</v>
      </c>
      <c r="B128" s="2">
        <v>869900</v>
      </c>
      <c r="C128" s="9">
        <f t="shared" si="2"/>
        <v>869900</v>
      </c>
      <c r="D128" s="9">
        <f t="shared" si="3"/>
        <v>0</v>
      </c>
    </row>
    <row r="129" spans="1:4" x14ac:dyDescent="0.2">
      <c r="A129" s="7" t="s">
        <v>458</v>
      </c>
      <c r="B129" s="2">
        <v>866900</v>
      </c>
      <c r="C129" s="9">
        <f t="shared" si="2"/>
        <v>866900</v>
      </c>
      <c r="D129" s="9">
        <f t="shared" si="3"/>
        <v>0</v>
      </c>
    </row>
    <row r="130" spans="1:4" x14ac:dyDescent="0.2">
      <c r="A130" s="7" t="s">
        <v>459</v>
      </c>
      <c r="B130" s="2">
        <v>899900</v>
      </c>
      <c r="C130" s="9">
        <f t="shared" si="2"/>
        <v>899900</v>
      </c>
      <c r="D130" s="9">
        <f t="shared" si="3"/>
        <v>0</v>
      </c>
    </row>
    <row r="131" spans="1:4" x14ac:dyDescent="0.2">
      <c r="A131" s="7" t="s">
        <v>460</v>
      </c>
      <c r="B131" s="2">
        <v>630745.52</v>
      </c>
      <c r="C131" s="9">
        <f t="shared" si="2"/>
        <v>630745.52</v>
      </c>
      <c r="D131" s="9">
        <f t="shared" si="3"/>
        <v>0</v>
      </c>
    </row>
    <row r="132" spans="1:4" x14ac:dyDescent="0.2">
      <c r="A132" s="7" t="s">
        <v>461</v>
      </c>
      <c r="B132" s="2">
        <v>619900</v>
      </c>
      <c r="C132" s="9">
        <f t="shared" si="2"/>
        <v>619900</v>
      </c>
      <c r="D132" s="9">
        <f t="shared" si="3"/>
        <v>0</v>
      </c>
    </row>
    <row r="133" spans="1:4" x14ac:dyDescent="0.2">
      <c r="A133" s="7" t="s">
        <v>462</v>
      </c>
      <c r="B133" s="2">
        <v>773558.33</v>
      </c>
      <c r="C133" s="9">
        <f t="shared" ref="C133:C152" si="4">IF(B133&gt;0,B133,0)</f>
        <v>773558.33</v>
      </c>
      <c r="D133" s="9">
        <f t="shared" ref="D133:D152" si="5">IF(B133&lt;0,B133,0)</f>
        <v>0</v>
      </c>
    </row>
    <row r="134" spans="1:4" x14ac:dyDescent="0.2">
      <c r="A134" s="7" t="s">
        <v>463</v>
      </c>
      <c r="B134" s="2">
        <v>784172.52</v>
      </c>
      <c r="C134" s="9">
        <f t="shared" si="4"/>
        <v>784172.52</v>
      </c>
      <c r="D134" s="9">
        <f t="shared" si="5"/>
        <v>0</v>
      </c>
    </row>
    <row r="135" spans="1:4" x14ac:dyDescent="0.2">
      <c r="A135" s="7" t="s">
        <v>464</v>
      </c>
      <c r="B135" s="2">
        <v>782020.94</v>
      </c>
      <c r="C135" s="9">
        <f t="shared" si="4"/>
        <v>782020.94</v>
      </c>
      <c r="D135" s="9">
        <f t="shared" si="5"/>
        <v>0</v>
      </c>
    </row>
    <row r="136" spans="1:4" x14ac:dyDescent="0.2">
      <c r="A136" s="7" t="s">
        <v>465</v>
      </c>
      <c r="B136" s="2">
        <v>622306.43000000005</v>
      </c>
      <c r="C136" s="9">
        <f t="shared" si="4"/>
        <v>622306.43000000005</v>
      </c>
      <c r="D136" s="9">
        <f t="shared" si="5"/>
        <v>0</v>
      </c>
    </row>
    <row r="137" spans="1:4" x14ac:dyDescent="0.2">
      <c r="A137" s="7" t="s">
        <v>466</v>
      </c>
      <c r="B137" s="2">
        <v>769900</v>
      </c>
      <c r="C137" s="9">
        <f t="shared" si="4"/>
        <v>769900</v>
      </c>
      <c r="D137" s="9">
        <f t="shared" si="5"/>
        <v>0</v>
      </c>
    </row>
    <row r="138" spans="1:4" x14ac:dyDescent="0.2">
      <c r="A138" s="7" t="s">
        <v>467</v>
      </c>
      <c r="B138" s="2">
        <v>619900</v>
      </c>
      <c r="C138" s="9">
        <f t="shared" si="4"/>
        <v>619900</v>
      </c>
      <c r="D138" s="9">
        <f t="shared" si="5"/>
        <v>0</v>
      </c>
    </row>
    <row r="139" spans="1:4" x14ac:dyDescent="0.2">
      <c r="A139" s="7" t="s">
        <v>468</v>
      </c>
      <c r="B139" s="2">
        <v>619900</v>
      </c>
      <c r="C139" s="9">
        <f t="shared" si="4"/>
        <v>619900</v>
      </c>
      <c r="D139" s="9">
        <f t="shared" si="5"/>
        <v>0</v>
      </c>
    </row>
    <row r="140" spans="1:4" x14ac:dyDescent="0.2">
      <c r="A140" s="7" t="s">
        <v>469</v>
      </c>
      <c r="B140" s="2">
        <v>589900</v>
      </c>
      <c r="C140" s="9">
        <f t="shared" si="4"/>
        <v>589900</v>
      </c>
      <c r="D140" s="9">
        <f t="shared" si="5"/>
        <v>0</v>
      </c>
    </row>
    <row r="141" spans="1:4" x14ac:dyDescent="0.2">
      <c r="A141" s="7" t="s">
        <v>470</v>
      </c>
      <c r="B141" s="2">
        <v>616900</v>
      </c>
      <c r="C141" s="9">
        <f t="shared" si="4"/>
        <v>616900</v>
      </c>
      <c r="D141" s="9">
        <f t="shared" si="5"/>
        <v>0</v>
      </c>
    </row>
    <row r="142" spans="1:4" x14ac:dyDescent="0.2">
      <c r="A142" s="7" t="s">
        <v>471</v>
      </c>
      <c r="B142" s="2">
        <v>614900</v>
      </c>
      <c r="C142" s="9">
        <f t="shared" si="4"/>
        <v>614900</v>
      </c>
      <c r="D142" s="9">
        <f t="shared" si="5"/>
        <v>0</v>
      </c>
    </row>
    <row r="143" spans="1:4" x14ac:dyDescent="0.2">
      <c r="A143" s="7" t="s">
        <v>472</v>
      </c>
      <c r="B143" s="2">
        <v>844260.47</v>
      </c>
      <c r="C143" s="9">
        <f t="shared" si="4"/>
        <v>844260.47</v>
      </c>
      <c r="D143" s="9">
        <f t="shared" si="5"/>
        <v>0</v>
      </c>
    </row>
    <row r="144" spans="1:4" x14ac:dyDescent="0.2">
      <c r="A144" s="7" t="s">
        <v>473</v>
      </c>
      <c r="B144" s="2">
        <v>829900</v>
      </c>
      <c r="C144" s="9">
        <f t="shared" si="4"/>
        <v>829900</v>
      </c>
      <c r="D144" s="9">
        <f t="shared" si="5"/>
        <v>0</v>
      </c>
    </row>
    <row r="145" spans="1:4" x14ac:dyDescent="0.2">
      <c r="A145" s="7" t="s">
        <v>474</v>
      </c>
      <c r="B145" s="2">
        <v>829900</v>
      </c>
      <c r="C145" s="9">
        <f t="shared" si="4"/>
        <v>829900</v>
      </c>
      <c r="D145" s="9">
        <f t="shared" si="5"/>
        <v>0</v>
      </c>
    </row>
    <row r="146" spans="1:4" x14ac:dyDescent="0.2">
      <c r="A146" s="7" t="s">
        <v>475</v>
      </c>
      <c r="B146" s="2">
        <v>674900</v>
      </c>
      <c r="C146" s="9">
        <f t="shared" si="4"/>
        <v>674900</v>
      </c>
      <c r="D146" s="9">
        <f t="shared" si="5"/>
        <v>0</v>
      </c>
    </row>
    <row r="147" spans="1:4" x14ac:dyDescent="0.2">
      <c r="A147" s="7" t="s">
        <v>476</v>
      </c>
      <c r="B147" s="2">
        <v>1249000</v>
      </c>
      <c r="C147" s="9">
        <f t="shared" si="4"/>
        <v>1249000</v>
      </c>
      <c r="D147" s="9">
        <f t="shared" si="5"/>
        <v>0</v>
      </c>
    </row>
    <row r="148" spans="1:4" x14ac:dyDescent="0.2">
      <c r="A148" s="7" t="s">
        <v>477</v>
      </c>
      <c r="B148" s="2">
        <v>2707.1</v>
      </c>
      <c r="C148" s="9">
        <f t="shared" si="4"/>
        <v>2707.1</v>
      </c>
      <c r="D148" s="9">
        <f t="shared" si="5"/>
        <v>0</v>
      </c>
    </row>
    <row r="149" spans="1:4" x14ac:dyDescent="0.2">
      <c r="A149" s="7" t="s">
        <v>478</v>
      </c>
      <c r="B149" s="2">
        <v>10335.129999999999</v>
      </c>
      <c r="C149" s="9">
        <f t="shared" si="4"/>
        <v>10335.129999999999</v>
      </c>
      <c r="D149" s="9">
        <f t="shared" si="5"/>
        <v>0</v>
      </c>
    </row>
    <row r="150" spans="1:4" x14ac:dyDescent="0.2">
      <c r="A150" s="7" t="s">
        <v>479</v>
      </c>
      <c r="B150" s="2">
        <v>9470.57</v>
      </c>
      <c r="C150" s="9">
        <f t="shared" si="4"/>
        <v>9470.57</v>
      </c>
      <c r="D150" s="9">
        <f t="shared" si="5"/>
        <v>0</v>
      </c>
    </row>
    <row r="151" spans="1:4" x14ac:dyDescent="0.2">
      <c r="A151" s="7" t="s">
        <v>481</v>
      </c>
      <c r="B151" s="2">
        <v>-902765.14</v>
      </c>
      <c r="C151" s="9">
        <f t="shared" si="4"/>
        <v>0</v>
      </c>
      <c r="D151" s="9">
        <f t="shared" si="5"/>
        <v>-902765.14</v>
      </c>
    </row>
    <row r="152" spans="1:4" x14ac:dyDescent="0.2">
      <c r="A152" s="7" t="s">
        <v>329</v>
      </c>
      <c r="B152" s="2">
        <v>4420204.2900000047</v>
      </c>
      <c r="C152" s="9">
        <f t="shared" si="4"/>
        <v>4420204.2900000047</v>
      </c>
      <c r="D152" s="9">
        <f t="shared" si="5"/>
        <v>0</v>
      </c>
    </row>
    <row r="153" spans="1:4" x14ac:dyDescent="0.2">
      <c r="B153"/>
    </row>
    <row r="154" spans="1:4" x14ac:dyDescent="0.2">
      <c r="B154"/>
    </row>
    <row r="155" spans="1:4" x14ac:dyDescent="0.2">
      <c r="B155"/>
    </row>
    <row r="156" spans="1:4" x14ac:dyDescent="0.2">
      <c r="B156"/>
    </row>
    <row r="157" spans="1:4" x14ac:dyDescent="0.2">
      <c r="B157"/>
    </row>
    <row r="158" spans="1:4" x14ac:dyDescent="0.2">
      <c r="B158"/>
    </row>
    <row r="159" spans="1:4" x14ac:dyDescent="0.2">
      <c r="B159"/>
    </row>
    <row r="160" spans="1:4" x14ac:dyDescent="0.2">
      <c r="B160"/>
    </row>
    <row r="161" spans="2:2" x14ac:dyDescent="0.2">
      <c r="B161"/>
    </row>
    <row r="162" spans="2:2" x14ac:dyDescent="0.2">
      <c r="B162"/>
    </row>
    <row r="163" spans="2:2" x14ac:dyDescent="0.2">
      <c r="B163"/>
    </row>
    <row r="164" spans="2:2" x14ac:dyDescent="0.2">
      <c r="B164"/>
    </row>
    <row r="165" spans="2:2" x14ac:dyDescent="0.2">
      <c r="B16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0CB5-63EE-4406-8F6E-3B6B6271ACCE}">
  <sheetPr>
    <tabColor rgb="FFFFC000"/>
  </sheetPr>
  <dimension ref="A1:E16"/>
  <sheetViews>
    <sheetView tabSelected="1" workbookViewId="0">
      <pane ySplit="5" topLeftCell="A6" activePane="bottomLeft" state="frozen"/>
      <selection pane="bottomLeft" activeCell="C34" sqref="C34"/>
    </sheetView>
  </sheetViews>
  <sheetFormatPr defaultRowHeight="14.25" x14ac:dyDescent="0.2"/>
  <cols>
    <col min="1" max="1" width="12.375" customWidth="1"/>
    <col min="2" max="2" width="10.875" customWidth="1"/>
    <col min="3" max="3" width="16.125" customWidth="1"/>
    <col min="4" max="4" width="37.25" bestFit="1" customWidth="1"/>
    <col min="5" max="5" width="14.875" customWidth="1"/>
  </cols>
  <sheetData>
    <row r="1" spans="1:5" x14ac:dyDescent="0.2">
      <c r="A1" t="s">
        <v>0</v>
      </c>
    </row>
    <row r="2" spans="1:5" x14ac:dyDescent="0.2">
      <c r="A2" t="s">
        <v>1</v>
      </c>
    </row>
    <row r="3" spans="1:5" x14ac:dyDescent="0.2">
      <c r="A3" t="s">
        <v>2</v>
      </c>
      <c r="B3" t="s">
        <v>3</v>
      </c>
      <c r="C3" t="s">
        <v>4</v>
      </c>
      <c r="D3" t="s">
        <v>5</v>
      </c>
    </row>
    <row r="4" spans="1:5" x14ac:dyDescent="0.2">
      <c r="A4" t="s">
        <v>6</v>
      </c>
      <c r="B4" t="s">
        <v>7</v>
      </c>
      <c r="C4" t="s">
        <v>8</v>
      </c>
      <c r="D4" t="s">
        <v>9</v>
      </c>
    </row>
    <row r="5" spans="1:5" x14ac:dyDescent="0.2">
      <c r="A5" t="s">
        <v>10</v>
      </c>
      <c r="B5" t="s">
        <v>11</v>
      </c>
      <c r="C5" t="s">
        <v>12</v>
      </c>
      <c r="D5" t="s">
        <v>13</v>
      </c>
    </row>
    <row r="6" spans="1:5" x14ac:dyDescent="0.2">
      <c r="A6" t="s">
        <v>17</v>
      </c>
      <c r="C6" t="s">
        <v>18</v>
      </c>
    </row>
    <row r="7" spans="1:5" x14ac:dyDescent="0.2">
      <c r="A7" s="60">
        <v>244348</v>
      </c>
      <c r="B7" t="s">
        <v>22</v>
      </c>
      <c r="C7" s="61" t="s">
        <v>250</v>
      </c>
      <c r="D7" t="s">
        <v>262</v>
      </c>
      <c r="E7" s="56">
        <v>412039</v>
      </c>
    </row>
    <row r="8" spans="1:5" x14ac:dyDescent="0.2">
      <c r="A8" s="60">
        <v>244348</v>
      </c>
      <c r="B8" t="s">
        <v>22</v>
      </c>
      <c r="C8" s="61" t="s">
        <v>266</v>
      </c>
      <c r="D8" t="s">
        <v>267</v>
      </c>
      <c r="E8" s="56">
        <v>449950</v>
      </c>
    </row>
    <row r="9" spans="1:5" x14ac:dyDescent="0.2">
      <c r="A9" s="60">
        <v>244348</v>
      </c>
      <c r="B9" t="s">
        <v>22</v>
      </c>
      <c r="C9" s="61" t="s">
        <v>266</v>
      </c>
      <c r="D9" t="s">
        <v>275</v>
      </c>
      <c r="E9" s="58">
        <v>781905.29</v>
      </c>
    </row>
    <row r="10" spans="1:5" x14ac:dyDescent="0.2">
      <c r="A10" s="60">
        <v>244348</v>
      </c>
      <c r="B10" t="s">
        <v>22</v>
      </c>
      <c r="C10" s="61" t="s">
        <v>284</v>
      </c>
      <c r="D10" t="s">
        <v>300</v>
      </c>
      <c r="E10" s="56">
        <v>765920</v>
      </c>
    </row>
    <row r="11" spans="1:5" x14ac:dyDescent="0.2">
      <c r="A11" s="60">
        <v>244348</v>
      </c>
      <c r="B11" t="s">
        <v>22</v>
      </c>
      <c r="C11" s="61" t="s">
        <v>284</v>
      </c>
      <c r="D11" t="s">
        <v>301</v>
      </c>
      <c r="E11" s="56">
        <v>433930</v>
      </c>
    </row>
    <row r="12" spans="1:5" x14ac:dyDescent="0.2">
      <c r="A12" s="60">
        <v>244348</v>
      </c>
      <c r="B12" t="s">
        <v>22</v>
      </c>
      <c r="C12" s="61" t="s">
        <v>306</v>
      </c>
      <c r="D12" t="s">
        <v>309</v>
      </c>
      <c r="E12" s="56">
        <v>829900</v>
      </c>
    </row>
    <row r="13" spans="1:5" x14ac:dyDescent="0.2">
      <c r="A13" s="60">
        <v>244348</v>
      </c>
      <c r="B13" t="s">
        <v>22</v>
      </c>
      <c r="C13" s="61" t="s">
        <v>306</v>
      </c>
      <c r="D13" t="s">
        <v>310</v>
      </c>
      <c r="E13" s="56">
        <v>746560</v>
      </c>
    </row>
    <row r="14" spans="1:5" x14ac:dyDescent="0.2">
      <c r="E14" s="57"/>
    </row>
    <row r="15" spans="1:5" x14ac:dyDescent="0.2">
      <c r="E15" s="59">
        <f>SUM(E7:E14)</f>
        <v>4420204.29</v>
      </c>
    </row>
    <row r="16" spans="1:5" x14ac:dyDescent="0.2">
      <c r="E16" s="57"/>
    </row>
  </sheetData>
  <pageMargins left="0.39370078740157483" right="0.39370078740157483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B066-1188-4365-B594-9E0C4D40C054}">
  <dimension ref="A1:E14"/>
  <sheetViews>
    <sheetView workbookViewId="0">
      <selection activeCell="F23" sqref="F23"/>
    </sheetView>
  </sheetViews>
  <sheetFormatPr defaultColWidth="9.125" defaultRowHeight="18.75" customHeight="1" x14ac:dyDescent="0.2"/>
  <cols>
    <col min="1" max="1" width="9.125" style="12" customWidth="1"/>
    <col min="2" max="2" width="17.125" style="12" customWidth="1"/>
    <col min="3" max="3" width="25.875" style="12" customWidth="1"/>
    <col min="4" max="4" width="17.25" style="53" customWidth="1"/>
    <col min="5" max="5" width="35.75" style="12" customWidth="1"/>
    <col min="6" max="16384" width="9.125" style="12"/>
  </cols>
  <sheetData>
    <row r="1" spans="1:5" ht="18.75" customHeight="1" x14ac:dyDescent="0.2">
      <c r="A1" s="72" t="s">
        <v>498</v>
      </c>
      <c r="B1" s="72"/>
      <c r="C1" s="72"/>
      <c r="D1" s="72"/>
      <c r="E1" s="72"/>
    </row>
    <row r="2" spans="1:5" ht="18.75" customHeight="1" x14ac:dyDescent="0.2">
      <c r="A2" s="67" t="s">
        <v>492</v>
      </c>
      <c r="B2" s="67" t="s">
        <v>493</v>
      </c>
      <c r="C2" s="67" t="s">
        <v>494</v>
      </c>
      <c r="D2" s="69" t="s">
        <v>495</v>
      </c>
      <c r="E2" s="67" t="s">
        <v>496</v>
      </c>
    </row>
    <row r="3" spans="1:5" ht="18.75" customHeight="1" x14ac:dyDescent="0.2">
      <c r="A3" s="68">
        <v>1</v>
      </c>
      <c r="B3" s="68" t="s">
        <v>505</v>
      </c>
      <c r="C3" s="64" t="s">
        <v>310</v>
      </c>
      <c r="D3" s="65">
        <v>746560</v>
      </c>
      <c r="E3" s="71" t="s">
        <v>512</v>
      </c>
    </row>
    <row r="4" spans="1:5" ht="18.75" customHeight="1" x14ac:dyDescent="0.2">
      <c r="A4" s="68">
        <v>2</v>
      </c>
      <c r="B4" s="68" t="s">
        <v>503</v>
      </c>
      <c r="C4" s="64" t="s">
        <v>301</v>
      </c>
      <c r="D4" s="65">
        <v>433930</v>
      </c>
      <c r="E4" s="71" t="s">
        <v>510</v>
      </c>
    </row>
    <row r="5" spans="1:5" ht="18.75" customHeight="1" x14ac:dyDescent="0.2">
      <c r="A5" s="68">
        <v>3</v>
      </c>
      <c r="B5" s="68" t="s">
        <v>500</v>
      </c>
      <c r="C5" s="64" t="s">
        <v>267</v>
      </c>
      <c r="D5" s="65">
        <v>449950</v>
      </c>
      <c r="E5" s="71" t="s">
        <v>507</v>
      </c>
    </row>
    <row r="6" spans="1:5" ht="18.75" customHeight="1" x14ac:dyDescent="0.2">
      <c r="A6" s="68">
        <v>4</v>
      </c>
      <c r="B6" s="68" t="s">
        <v>502</v>
      </c>
      <c r="C6" s="64" t="s">
        <v>300</v>
      </c>
      <c r="D6" s="65">
        <v>765920</v>
      </c>
      <c r="E6" s="71" t="s">
        <v>509</v>
      </c>
    </row>
    <row r="7" spans="1:5" ht="18.75" customHeight="1" x14ac:dyDescent="0.2">
      <c r="A7" s="68">
        <v>5</v>
      </c>
      <c r="B7" s="68" t="s">
        <v>504</v>
      </c>
      <c r="C7" s="64" t="s">
        <v>309</v>
      </c>
      <c r="D7" s="65">
        <v>829900</v>
      </c>
      <c r="E7" s="71" t="s">
        <v>511</v>
      </c>
    </row>
    <row r="8" spans="1:5" ht="18.75" customHeight="1" x14ac:dyDescent="0.2">
      <c r="A8" s="68">
        <v>6</v>
      </c>
      <c r="B8" s="68" t="s">
        <v>499</v>
      </c>
      <c r="C8" s="64" t="s">
        <v>262</v>
      </c>
      <c r="D8" s="65">
        <v>412039</v>
      </c>
      <c r="E8" s="71" t="s">
        <v>506</v>
      </c>
    </row>
    <row r="9" spans="1:5" ht="18.75" customHeight="1" x14ac:dyDescent="0.2">
      <c r="A9" s="68">
        <v>7</v>
      </c>
      <c r="B9" s="68" t="s">
        <v>501</v>
      </c>
      <c r="C9" s="64" t="s">
        <v>275</v>
      </c>
      <c r="D9" s="66">
        <v>781905.29</v>
      </c>
      <c r="E9" s="71" t="s">
        <v>508</v>
      </c>
    </row>
    <row r="10" spans="1:5" ht="18.75" customHeight="1" x14ac:dyDescent="0.2">
      <c r="A10" s="54"/>
      <c r="B10" s="54"/>
      <c r="C10" s="67" t="s">
        <v>329</v>
      </c>
      <c r="D10" s="70">
        <f>SUM(D3:D9)</f>
        <v>4420204.29</v>
      </c>
      <c r="E10" s="55"/>
    </row>
    <row r="11" spans="1:5" ht="18.75" customHeight="1" x14ac:dyDescent="0.2">
      <c r="E11" s="53"/>
    </row>
    <row r="12" spans="1:5" ht="18.75" customHeight="1" x14ac:dyDescent="0.2">
      <c r="E12" s="53"/>
    </row>
    <row r="13" spans="1:5" ht="18.75" customHeight="1" x14ac:dyDescent="0.2">
      <c r="E13" s="53"/>
    </row>
    <row r="14" spans="1:5" ht="18.75" customHeight="1" x14ac:dyDescent="0.2">
      <c r="E14" s="53"/>
    </row>
  </sheetData>
  <sortState xmlns:xlrd2="http://schemas.microsoft.com/office/spreadsheetml/2017/richdata2" ref="A3:E10">
    <sortCondition ref="E3:E10"/>
  </sortState>
  <mergeCells count="1">
    <mergeCell ref="A1:E1"/>
  </mergeCells>
  <pageMargins left="0.39370078740157483" right="0.39370078740157483" top="0.74803149606299213" bottom="0.74803149606299213" header="0.31496062992125984" footer="0.31496062992125984"/>
  <pageSetup paperSize="9"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5091-607F-46BD-89DB-75F5FF5AF1D6}">
  <dimension ref="A1:F32"/>
  <sheetViews>
    <sheetView workbookViewId="0">
      <selection activeCell="H8" sqref="H8"/>
    </sheetView>
  </sheetViews>
  <sheetFormatPr defaultColWidth="9.125" defaultRowHeight="14.25" x14ac:dyDescent="0.2"/>
  <cols>
    <col min="1" max="1" width="14.875" style="12" customWidth="1"/>
    <col min="2" max="2" width="9.125" style="12"/>
    <col min="3" max="3" width="7.625" style="12" customWidth="1"/>
    <col min="4" max="4" width="9.125" style="12"/>
    <col min="5" max="5" width="20.875" style="12" customWidth="1"/>
    <col min="6" max="6" width="33.375" style="12" customWidth="1"/>
    <col min="7" max="16384" width="9.125" style="12"/>
  </cols>
  <sheetData>
    <row r="1" spans="1:6" ht="15" thickBot="1" x14ac:dyDescent="0.25"/>
    <row r="2" spans="1:6" x14ac:dyDescent="0.2">
      <c r="A2" s="13"/>
      <c r="B2" s="13"/>
      <c r="C2" s="13"/>
      <c r="D2" s="13"/>
      <c r="E2" s="13"/>
      <c r="F2" s="73" t="s">
        <v>514</v>
      </c>
    </row>
    <row r="3" spans="1:6" x14ac:dyDescent="0.2">
      <c r="A3" s="13"/>
      <c r="B3" s="13"/>
      <c r="C3" s="13"/>
      <c r="D3" s="13"/>
      <c r="E3" s="13"/>
      <c r="F3" s="74"/>
    </row>
    <row r="4" spans="1:6" x14ac:dyDescent="0.2">
      <c r="A4" s="13"/>
      <c r="B4" s="13"/>
      <c r="C4" s="13"/>
      <c r="D4" s="13"/>
      <c r="E4" s="13"/>
      <c r="F4" s="74"/>
    </row>
    <row r="5" spans="1:6" ht="15" thickBot="1" x14ac:dyDescent="0.25">
      <c r="A5" s="13"/>
      <c r="B5" s="13"/>
      <c r="C5" s="13"/>
      <c r="D5" s="13"/>
      <c r="E5" s="13"/>
      <c r="F5" s="75"/>
    </row>
    <row r="6" spans="1:6" x14ac:dyDescent="0.2">
      <c r="A6" s="13"/>
      <c r="B6" s="13"/>
      <c r="C6" s="13"/>
      <c r="D6" s="13"/>
      <c r="E6" s="13"/>
      <c r="F6" s="13"/>
    </row>
    <row r="7" spans="1:6" x14ac:dyDescent="0.2">
      <c r="A7" s="76" t="s">
        <v>497</v>
      </c>
      <c r="B7" s="76"/>
      <c r="C7" s="76"/>
      <c r="D7" s="76"/>
      <c r="E7" s="76"/>
      <c r="F7" s="76"/>
    </row>
    <row r="8" spans="1:6" ht="15" thickBot="1" x14ac:dyDescent="0.25">
      <c r="A8" s="77" t="s">
        <v>482</v>
      </c>
      <c r="B8" s="77"/>
      <c r="C8" s="77"/>
      <c r="D8" s="77"/>
      <c r="E8" s="77"/>
      <c r="F8" s="77"/>
    </row>
    <row r="9" spans="1:6" x14ac:dyDescent="0.2">
      <c r="A9" s="14"/>
      <c r="B9" s="15"/>
      <c r="C9" s="15"/>
      <c r="D9" s="15"/>
      <c r="E9" s="15"/>
      <c r="F9" s="16"/>
    </row>
    <row r="10" spans="1:6" x14ac:dyDescent="0.2">
      <c r="A10" s="17" t="s">
        <v>483</v>
      </c>
      <c r="B10" s="18" t="s">
        <v>484</v>
      </c>
      <c r="C10" s="18"/>
      <c r="D10" s="18"/>
      <c r="E10" s="18"/>
      <c r="F10" s="19" t="s">
        <v>485</v>
      </c>
    </row>
    <row r="11" spans="1:6" x14ac:dyDescent="0.2">
      <c r="A11" s="63" t="s">
        <v>17</v>
      </c>
      <c r="B11" s="20" t="s">
        <v>513</v>
      </c>
      <c r="C11" s="20"/>
      <c r="D11" s="21"/>
      <c r="E11" s="21"/>
      <c r="F11" s="22">
        <v>4420204.29</v>
      </c>
    </row>
    <row r="12" spans="1:6" x14ac:dyDescent="0.2">
      <c r="A12" s="23"/>
      <c r="B12" s="20"/>
      <c r="C12" s="24"/>
      <c r="D12" s="21"/>
      <c r="E12" s="21"/>
      <c r="F12" s="22"/>
    </row>
    <row r="13" spans="1:6" x14ac:dyDescent="0.2">
      <c r="A13" s="23"/>
      <c r="B13" s="20"/>
      <c r="C13" s="25"/>
      <c r="D13" s="21"/>
      <c r="E13" s="26"/>
      <c r="F13" s="22"/>
    </row>
    <row r="14" spans="1:6" x14ac:dyDescent="0.2">
      <c r="A14" s="23"/>
      <c r="B14" s="27"/>
      <c r="C14" s="27"/>
      <c r="D14" s="28"/>
      <c r="E14" s="27"/>
      <c r="F14" s="29"/>
    </row>
    <row r="15" spans="1:6" x14ac:dyDescent="0.2">
      <c r="A15" s="23"/>
      <c r="B15" s="27"/>
      <c r="C15" s="27"/>
      <c r="D15" s="28"/>
      <c r="E15" s="27"/>
      <c r="F15" s="29"/>
    </row>
    <row r="16" spans="1:6" x14ac:dyDescent="0.2">
      <c r="A16" s="30"/>
      <c r="B16" s="31"/>
      <c r="C16" s="31"/>
      <c r="D16" s="32"/>
      <c r="E16" s="27"/>
      <c r="F16" s="29"/>
    </row>
    <row r="17" spans="1:6" x14ac:dyDescent="0.2">
      <c r="A17" s="23"/>
      <c r="B17" s="27"/>
      <c r="C17" s="33"/>
      <c r="D17" s="28"/>
      <c r="E17" s="27"/>
      <c r="F17" s="22"/>
    </row>
    <row r="18" spans="1:6" x14ac:dyDescent="0.2">
      <c r="A18" s="23"/>
      <c r="B18" s="27"/>
      <c r="C18" s="21"/>
      <c r="D18" s="34"/>
      <c r="E18" s="21"/>
      <c r="F18" s="35"/>
    </row>
    <row r="19" spans="1:6" x14ac:dyDescent="0.2">
      <c r="A19" s="23"/>
      <c r="B19" s="27"/>
      <c r="C19" s="27"/>
      <c r="D19" s="28"/>
      <c r="E19" s="27"/>
      <c r="F19" s="36"/>
    </row>
    <row r="20" spans="1:6" x14ac:dyDescent="0.2">
      <c r="A20" s="23"/>
      <c r="B20" s="27"/>
      <c r="C20" s="27"/>
      <c r="D20" s="28"/>
      <c r="E20" s="27"/>
      <c r="F20" s="36"/>
    </row>
    <row r="21" spans="1:6" x14ac:dyDescent="0.2">
      <c r="A21" s="23"/>
      <c r="B21" s="27"/>
      <c r="C21" s="27"/>
      <c r="D21" s="28"/>
      <c r="E21" s="27"/>
      <c r="F21" s="37"/>
    </row>
    <row r="22" spans="1:6" ht="15" thickBot="1" x14ac:dyDescent="0.25">
      <c r="A22" s="63" t="s">
        <v>486</v>
      </c>
      <c r="B22" s="27"/>
      <c r="C22" s="28"/>
      <c r="D22" s="28"/>
      <c r="E22" s="27"/>
      <c r="F22" s="62">
        <f>F11</f>
        <v>4420204.29</v>
      </c>
    </row>
    <row r="23" spans="1:6" ht="15" thickTop="1" x14ac:dyDescent="0.2">
      <c r="A23" s="23"/>
      <c r="B23" s="27"/>
      <c r="C23" s="28"/>
      <c r="D23" s="28"/>
      <c r="E23" s="27"/>
      <c r="F23" s="37"/>
    </row>
    <row r="24" spans="1:6" x14ac:dyDescent="0.2">
      <c r="A24" s="23"/>
      <c r="B24" s="27"/>
      <c r="C24" s="28"/>
      <c r="D24" s="28"/>
      <c r="E24" s="27"/>
      <c r="F24" s="37"/>
    </row>
    <row r="25" spans="1:6" x14ac:dyDescent="0.2">
      <c r="A25" s="23"/>
      <c r="B25" s="27"/>
      <c r="C25" s="28"/>
      <c r="D25" s="28"/>
      <c r="E25" s="27"/>
      <c r="F25" s="37"/>
    </row>
    <row r="26" spans="1:6" x14ac:dyDescent="0.2">
      <c r="A26" s="23"/>
      <c r="B26" s="27"/>
      <c r="C26" s="28"/>
      <c r="D26" s="28"/>
      <c r="E26" s="27"/>
      <c r="F26" s="37"/>
    </row>
    <row r="27" spans="1:6" ht="15" thickBot="1" x14ac:dyDescent="0.25">
      <c r="A27" s="38"/>
      <c r="B27" s="39"/>
      <c r="C27" s="39"/>
      <c r="D27" s="40"/>
      <c r="E27" s="39"/>
      <c r="F27" s="41"/>
    </row>
    <row r="28" spans="1:6" x14ac:dyDescent="0.2">
      <c r="A28" s="42" t="s">
        <v>487</v>
      </c>
      <c r="B28" s="43"/>
      <c r="C28" s="43"/>
      <c r="D28" s="44"/>
      <c r="E28" s="42" t="s">
        <v>488</v>
      </c>
      <c r="F28" s="44" t="s">
        <v>489</v>
      </c>
    </row>
    <row r="29" spans="1:6" ht="15" thickBot="1" x14ac:dyDescent="0.25">
      <c r="A29" s="45"/>
      <c r="B29" s="46"/>
      <c r="C29" s="46"/>
      <c r="D29" s="47"/>
      <c r="E29" s="45"/>
      <c r="F29" s="47"/>
    </row>
    <row r="30" spans="1:6" x14ac:dyDescent="0.2">
      <c r="A30" s="45" t="s">
        <v>490</v>
      </c>
      <c r="B30" s="48"/>
      <c r="C30" s="46"/>
      <c r="D30" s="47"/>
      <c r="E30" s="45" t="s">
        <v>491</v>
      </c>
      <c r="F30" s="44" t="s">
        <v>489</v>
      </c>
    </row>
    <row r="31" spans="1:6" ht="15" thickBot="1" x14ac:dyDescent="0.25">
      <c r="A31" s="49"/>
      <c r="B31" s="50"/>
      <c r="C31" s="50"/>
      <c r="D31" s="51"/>
      <c r="E31" s="49"/>
      <c r="F31" s="51"/>
    </row>
    <row r="32" spans="1:6" x14ac:dyDescent="0.2">
      <c r="A32" s="52"/>
      <c r="B32" s="52"/>
      <c r="C32" s="52"/>
      <c r="D32" s="52"/>
      <c r="E32" s="52"/>
      <c r="F32" s="52"/>
    </row>
  </sheetData>
  <mergeCells count="3">
    <mergeCell ref="F2:F5"/>
    <mergeCell ref="A7:F7"/>
    <mergeCell ref="A8:F8"/>
  </mergeCells>
  <pageMargins left="0.39370078740157483" right="0.39370078740157483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</vt:lpstr>
      <vt:lpstr>11020104</vt:lpstr>
      <vt:lpstr>Privot</vt:lpstr>
      <vt:lpstr>รายละเอียด</vt:lpstr>
      <vt:lpstr>สรุป</vt:lpstr>
      <vt:lpstr>ปก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account.sales</dc:creator>
  <cp:lastModifiedBy>Sureepon Ratsameepen</cp:lastModifiedBy>
  <cp:lastPrinted>2026-03-03T07:55:17Z</cp:lastPrinted>
  <dcterms:created xsi:type="dcterms:W3CDTF">2026-03-03T03:59:34Z</dcterms:created>
  <dcterms:modified xsi:type="dcterms:W3CDTF">2026-03-24T08:15:19Z</dcterms:modified>
</cp:coreProperties>
</file>